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ummary Dashboard" sheetId="1" state="visible" r:id="rId3"/>
    <sheet name="🏊 Resource Pool" sheetId="2" state="visible" r:id="rId4"/>
    <sheet name="📋 Workstreams" sheetId="3" state="visible" r:id="rId5"/>
    <sheet name="📌 Alpha" sheetId="4" state="visible" r:id="rId6"/>
    <sheet name="📌 Beta" sheetId="5" state="visible" r:id="rId7"/>
    <sheet name="📌 Gamma" sheetId="6" state="visible" r:id="rId8"/>
    <sheet name="📌 Delta" sheetId="7" state="visible" r:id="rId9"/>
    <sheet name="📌 Epsilon" sheetId="8" state="visible" r:id="rId10"/>
    <sheet name="📌 Zeta" sheetId="9" state="visible" r:id="rId11"/>
    <sheet name="📌 Eta" sheetId="10" state="visible" r:id="rId12"/>
    <sheet name="📌 Theta" sheetId="11" state="visible" r:id="rId13"/>
    <sheet name="📌 Iota" sheetId="12" state="visible" r:id="rId14"/>
    <sheet name="📌 Kappa" sheetId="13" state="visible" r:id="rId15"/>
    <sheet name="🔢 Allocation Matrix" sheetId="14" state="visible" r:id="rId16"/>
    <sheet name="ℹ️ How To Use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<sst xmlns="http://schemas.openxmlformats.org/spreadsheetml/2006/main" count="702" uniqueCount="166">
  <si>
    <t xml:space="preserve">RESOURCE MANAGEMENT DASHBOARD</t>
  </si>
  <si>
    <t xml:space="preserve">Demand vs. Supply · Workstream Overview · Resource Utilisation</t>
  </si>
  <si>
    <t xml:space="preserve">Total Resources</t>
  </si>
  <si>
    <t xml:space="preserve">Active Workstreams</t>
  </si>
  <si>
    <t xml:space="preserve">Allocated FTEs</t>
  </si>
  <si>
    <t xml:space="preserve">Unallocated FTEs</t>
  </si>
  <si>
    <t xml:space="preserve">Over-capacity Risk</t>
  </si>
  <si>
    <t xml:space="preserve">WORKSTREAM SUMMARY</t>
  </si>
  <si>
    <t xml:space="preserve">#</t>
  </si>
  <si>
    <t xml:space="preserve">Workstream</t>
  </si>
  <si>
    <t xml:space="preserve">Priority</t>
  </si>
  <si>
    <t xml:space="preserve">Status</t>
  </si>
  <si>
    <t xml:space="preserve">Total Tasks</t>
  </si>
  <si>
    <t xml:space="preserve">% of Pool</t>
  </si>
  <si>
    <t xml:space="preserve">RAG Status</t>
  </si>
  <si>
    <t xml:space="preserve">Initiative Alpha</t>
  </si>
  <si>
    <t xml:space="preserve">High</t>
  </si>
  <si>
    <t xml:space="preserve">Active</t>
  </si>
  <si>
    <t xml:space="preserve">Initiative Beta</t>
  </si>
  <si>
    <t xml:space="preserve">Initiative Gamma</t>
  </si>
  <si>
    <t xml:space="preserve">Medium</t>
  </si>
  <si>
    <t xml:space="preserve">Initiative Delta</t>
  </si>
  <si>
    <t xml:space="preserve">Planning</t>
  </si>
  <si>
    <t xml:space="preserve">Initiative Epsilon</t>
  </si>
  <si>
    <t xml:space="preserve">Low</t>
  </si>
  <si>
    <t xml:space="preserve">On Hold</t>
  </si>
  <si>
    <t xml:space="preserve">Initiative Zeta</t>
  </si>
  <si>
    <t xml:space="preserve">Initiative Eta</t>
  </si>
  <si>
    <t xml:space="preserve">Initiative Theta</t>
  </si>
  <si>
    <t xml:space="preserve">Initiative Iota</t>
  </si>
  <si>
    <t xml:space="preserve">Initiative Kappa</t>
  </si>
  <si>
    <t xml:space="preserve">TOTALS</t>
  </si>
  <si>
    <t xml:space="preserve">RESOURCE POOL</t>
  </si>
  <si>
    <t xml:space="preserve">Total Resource Pool Size (FTEs)</t>
  </si>
  <si>
    <t xml:space="preserve">Name</t>
  </si>
  <si>
    <t xml:space="preserve">Role / Skill</t>
  </si>
  <si>
    <t xml:space="preserve">Seniority</t>
  </si>
  <si>
    <t xml:space="preserve">Available FTE</t>
  </si>
  <si>
    <t xml:space="preserve">Allocated FTE</t>
  </si>
  <si>
    <t xml:space="preserve">Remaining FTE</t>
  </si>
  <si>
    <t xml:space="preserve">Primary Workstream</t>
  </si>
  <si>
    <t xml:space="preserve">Alice M.</t>
  </si>
  <si>
    <t xml:space="preserve">Product Manager</t>
  </si>
  <si>
    <t xml:space="preserve">Senior</t>
  </si>
  <si>
    <t xml:space="preserve">Bob K.</t>
  </si>
  <si>
    <t xml:space="preserve">Engineer</t>
  </si>
  <si>
    <t xml:space="preserve">Mid</t>
  </si>
  <si>
    <t xml:space="preserve">Carol T.</t>
  </si>
  <si>
    <t xml:space="preserve">David L.</t>
  </si>
  <si>
    <t xml:space="preserve">Data Analyst</t>
  </si>
  <si>
    <t xml:space="preserve">Eva S.</t>
  </si>
  <si>
    <t xml:space="preserve">Designer</t>
  </si>
  <si>
    <t xml:space="preserve">Frank R.</t>
  </si>
  <si>
    <t xml:space="preserve">Junior</t>
  </si>
  <si>
    <t xml:space="preserve">Grace H.</t>
  </si>
  <si>
    <t xml:space="preserve">Business Analyst</t>
  </si>
  <si>
    <t xml:space="preserve">Hank W.</t>
  </si>
  <si>
    <t xml:space="preserve">Scrum Master</t>
  </si>
  <si>
    <t xml:space="preserve">Iris P.</t>
  </si>
  <si>
    <t xml:space="preserve">James O.</t>
  </si>
  <si>
    <t xml:space="preserve">QA Engineer</t>
  </si>
  <si>
    <t xml:space="preserve">Karen N.</t>
  </si>
  <si>
    <t xml:space="preserve">Leo B.</t>
  </si>
  <si>
    <t xml:space="preserve">💡  Blue cells = inputs you can edit.  Yellow cells = data to fill in.  Change 'Total Resource Pool Size' (D4) to match your actual headcount.</t>
  </si>
  <si>
    <t xml:space="preserve">WORKSTREAMS MASTER LIST</t>
  </si>
  <si>
    <t xml:space="preserve">Workstream Name</t>
  </si>
  <si>
    <t xml:space="preserve">Sponsor</t>
  </si>
  <si>
    <t xml:space="preserve">Start Date</t>
  </si>
  <si>
    <t xml:space="preserve">Target End</t>
  </si>
  <si>
    <t xml:space="preserve">Budget ($K)</t>
  </si>
  <si>
    <t xml:space="preserve">Spent ($K)</t>
  </si>
  <si>
    <t xml:space="preserve">% Complete</t>
  </si>
  <si>
    <t xml:space="preserve">Key Risks</t>
  </si>
  <si>
    <t xml:space="preserve">Notes</t>
  </si>
  <si>
    <t xml:space="preserve">J. Smith</t>
  </si>
  <si>
    <t xml:space="preserve">01/01/2025</t>
  </si>
  <si>
    <t xml:space="preserve">31/12/2025</t>
  </si>
  <si>
    <t xml:space="preserve">Update as needed</t>
  </si>
  <si>
    <t xml:space="preserve">A. Lee</t>
  </si>
  <si>
    <t xml:space="preserve">B. Jones</t>
  </si>
  <si>
    <t xml:space="preserve">C. Park</t>
  </si>
  <si>
    <t xml:space="preserve">D. Kim</t>
  </si>
  <si>
    <t xml:space="preserve">E. Wang</t>
  </si>
  <si>
    <t xml:space="preserve">F. Chen</t>
  </si>
  <si>
    <t xml:space="preserve">G. Patel</t>
  </si>
  <si>
    <t xml:space="preserve">H. Müller</t>
  </si>
  <si>
    <t xml:space="preserve">I. Brown</t>
  </si>
  <si>
    <t xml:space="preserve">TASK TRACKER  |  Initiative Alpha</t>
  </si>
  <si>
    <t xml:space="preserve">Priority:</t>
  </si>
  <si>
    <t xml:space="preserve">Status:</t>
  </si>
  <si>
    <t xml:space="preserve">Allocated FTEs:</t>
  </si>
  <si>
    <t xml:space="preserve">Task / Deliverable</t>
  </si>
  <si>
    <t xml:space="preserve">Owner</t>
  </si>
  <si>
    <t xml:space="preserve">Due Date</t>
  </si>
  <si>
    <t xml:space="preserve">FTE Effort</t>
  </si>
  <si>
    <t xml:space="preserve">% Done</t>
  </si>
  <si>
    <t xml:space="preserve">Blockers / Notes</t>
  </si>
  <si>
    <t xml:space="preserve">Define scope &amp; objectives</t>
  </si>
  <si>
    <t xml:space="preserve">TBD</t>
  </si>
  <si>
    <t xml:space="preserve">Done</t>
  </si>
  <si>
    <t xml:space="preserve">Stakeholder alignment</t>
  </si>
  <si>
    <t xml:space="preserve">Requirements gathering</t>
  </si>
  <si>
    <t xml:space="preserve">In Progress</t>
  </si>
  <si>
    <t xml:space="preserve">Solution design</t>
  </si>
  <si>
    <t xml:space="preserve">Build / develop</t>
  </si>
  <si>
    <t xml:space="preserve">Not Started</t>
  </si>
  <si>
    <t xml:space="preserve">Testing &amp; QA</t>
  </si>
  <si>
    <t xml:space="preserve">UAT with stakeholders</t>
  </si>
  <si>
    <t xml:space="preserve">Training &amp; change management</t>
  </si>
  <si>
    <t xml:space="preserve">TOTALS / AVG</t>
  </si>
  <si>
    <t xml:space="preserve">TASK TRACKER  |  Initiative Beta</t>
  </si>
  <si>
    <t xml:space="preserve">TASK TRACKER  |  Initiative Gamma</t>
  </si>
  <si>
    <t xml:space="preserve">TASK TRACKER  |  Initiative Delta</t>
  </si>
  <si>
    <t xml:space="preserve">TASK TRACKER  |  Initiative Epsilon</t>
  </si>
  <si>
    <t xml:space="preserve">TASK TRACKER  |  Initiative Zeta</t>
  </si>
  <si>
    <t xml:space="preserve">TASK TRACKER  |  Initiative Eta</t>
  </si>
  <si>
    <t xml:space="preserve">TASK TRACKER  |  Initiative Theta</t>
  </si>
  <si>
    <t xml:space="preserve">TASK TRACKER  |  Initiative Iota</t>
  </si>
  <si>
    <t xml:space="preserve">TASK TRACKER  |  Initiative Kappa</t>
  </si>
  <si>
    <t xml:space="preserve">RESOURCE ALLOCATION MATRIX  (FTE per Person per Workstream)</t>
  </si>
  <si>
    <t xml:space="preserve">Init. Alpha</t>
  </si>
  <si>
    <t xml:space="preserve">Init. Beta</t>
  </si>
  <si>
    <t xml:space="preserve">Init. Gamma</t>
  </si>
  <si>
    <t xml:space="preserve">Init. Delta</t>
  </si>
  <si>
    <t xml:space="preserve">Init. Epsilon</t>
  </si>
  <si>
    <t xml:space="preserve">Init. Zeta</t>
  </si>
  <si>
    <t xml:space="preserve">Init. Eta</t>
  </si>
  <si>
    <t xml:space="preserve">Init. Theta</t>
  </si>
  <si>
    <t xml:space="preserve">Init. Iota</t>
  </si>
  <si>
    <t xml:space="preserve">Init. Kappa</t>
  </si>
  <si>
    <t xml:space="preserve">Total FTE</t>
  </si>
  <si>
    <t xml:space="preserve">Alice M. (Product Manager)</t>
  </si>
  <si>
    <t xml:space="preserve">Bob K. (Engineer)</t>
  </si>
  <si>
    <t xml:space="preserve">Carol T. (Engineer)</t>
  </si>
  <si>
    <t xml:space="preserve">David L. (Data Analyst)</t>
  </si>
  <si>
    <t xml:space="preserve">Eva S. (Designer)</t>
  </si>
  <si>
    <t xml:space="preserve">Frank R. (Engineer)</t>
  </si>
  <si>
    <t xml:space="preserve">Grace H. (Business Analyst)</t>
  </si>
  <si>
    <t xml:space="preserve">Hank W. (Scrum Master)</t>
  </si>
  <si>
    <t xml:space="preserve">Iris P. (Engineer)</t>
  </si>
  <si>
    <t xml:space="preserve">James O. (QA Engineer)</t>
  </si>
  <si>
    <t xml:space="preserve">Karen N. (Data Analyst)</t>
  </si>
  <si>
    <t xml:space="preserve">Leo B. (Engineer)</t>
  </si>
  <si>
    <t xml:space="preserve">WS Total FTE</t>
  </si>
  <si>
    <t xml:space="preserve">💡  Fill in yellow cells with FTE allocation per person per workstream (0 = not assigned, 1.0 = full time, 0.5 = half time).  Green highlighting appears automatically when allocation &gt; 0.</t>
  </si>
  <si>
    <t xml:space="preserve">HOW TO USE THIS TEMPLATE</t>
  </si>
  <si>
    <t xml:space="preserve">Step 1 · Set pool size</t>
  </si>
  <si>
    <t xml:space="preserve">Go to '🏊 Resource Pool' tab → change cell D4 to your actual headcount.</t>
  </si>
  <si>
    <t xml:space="preserve">Step 2 · Enter your team</t>
  </si>
  <si>
    <t xml:space="preserve">Fill in rows 7+ of '🏊 Resource Pool' with real names, roles, seniority.</t>
  </si>
  <si>
    <t xml:space="preserve">Step 3 · Define workstreams</t>
  </si>
  <si>
    <t xml:space="preserve">Update '📋 Workstreams' tab with your real initiative names, sponsors, priorities and dates.</t>
  </si>
  <si>
    <t xml:space="preserve">Step 4 · Allocate resources</t>
  </si>
  <si>
    <t xml:space="preserve">Use '🔢 Allocation Matrix' – enter FTE per person per workstream (yellow cells). 0.5 = half time, 1.0 = full time.</t>
  </si>
  <si>
    <t xml:space="preserve">Step 5 · Fill task trackers</t>
  </si>
  <si>
    <t xml:space="preserve">Each '📌' tab is a workstream task tracker. Add real tasks, owners, due dates and status.</t>
  </si>
  <si>
    <t xml:space="preserve">Step 6 · Review dashboard</t>
  </si>
  <si>
    <t xml:space="preserve">Return to '📊 Summary Dashboard' to see consolidated utilisation, RAG status and capacity warning.</t>
  </si>
  <si>
    <t xml:space="preserve">Step 7 · Update regularly</t>
  </si>
  <si>
    <t xml:space="preserve">Keep % Complete and Status current on task sheets. Dashboard refreshes automatically.</t>
  </si>
  <si>
    <t xml:space="preserve">Priority coding</t>
  </si>
  <si>
    <t xml:space="preserve">🔴 High = delivery-critical | 🟡 Medium = important but can flex | 🟢 Low = defer if needed.</t>
  </si>
  <si>
    <t xml:space="preserve">Over-capacity rule</t>
  </si>
  <si>
    <t xml:space="preserve">When the red banner shows on the dashboard, triage by deferring 'Low' items first, then 'On Hold' items.</t>
  </si>
  <si>
    <t xml:space="preserve">Blue cells</t>
  </si>
  <si>
    <t xml:space="preserve">Blue text = hardcoded inputs you should change. Yellow background = data entry required.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</si>
</sst>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%"/>
    <numFmt numFmtId="168" formatCode="#,##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1"/>
      <color rgb="FFBDD7E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2"/>
      <color rgb="FF2E75B6"/>
      <name val="Arial"/>
      <family val="0"/>
      <charset val="1"/>
    </font>
    <font>
      <b val="true"/>
      <sz val="22"/>
      <color rgb="FFED7D31"/>
      <name val="Arial"/>
      <family val="0"/>
      <charset val="1"/>
    </font>
    <font>
      <b val="true"/>
      <sz val="22"/>
      <color rgb="FF70AD47"/>
      <name val="Arial"/>
      <family val="0"/>
      <charset val="1"/>
    </font>
    <font>
      <b val="true"/>
      <sz val="22"/>
      <color rgb="FFFF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2E75B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472C4"/>
      </patternFill>
    </fill>
    <fill>
      <patternFill patternType="solid">
        <fgColor rgb="FFED7D31"/>
        <bgColor rgb="FFFF8080"/>
      </patternFill>
    </fill>
    <fill>
      <patternFill patternType="solid">
        <fgColor rgb="FF70AD47"/>
        <bgColor rgb="FF339966"/>
      </patternFill>
    </fill>
    <fill>
      <patternFill patternType="solid">
        <fgColor rgb="FFFF0000"/>
        <bgColor rgb="FF993300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F4B942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DD7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276221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2F2F2"/>
      <rgbColor rgb="FFCCFFFF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4B942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P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2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5"/>
    <col collapsed="false" customWidth="true" hidden="false" outlineLevel="0" max="7" min="7" style="0" width="14"/>
    <col collapsed="false" customWidth="true" hidden="false" outlineLevel="0" max="8" min="8" style="0" width="5"/>
    <col collapsed="false" customWidth="true" hidden="false" outlineLevel="0" max="9" min="9" style="0" width="10"/>
    <col collapsed="false" customWidth="true" hidden="false" outlineLevel="0" max="10" min="10" style="0" width="5"/>
    <col collapsed="false" customWidth="true" hidden="false" outlineLevel="0" max="11" min="11" style="0" width="14"/>
    <col collapsed="false" customWidth="true" hidden="false" outlineLevel="0" max="12" min="12" style="0" width="5"/>
    <col collapsed="false" customWidth="true" hidden="false" outlineLevel="0" max="13" min="13" style="0" width="12"/>
    <col collapsed="false" customWidth="true" hidden="false" outlineLevel="0" max="14" min="14" style="0" width="5"/>
    <col collapsed="false" customWidth="true" hidden="false" outlineLevel="0" max="15" min="15" style="0" width="14"/>
    <col collapsed="false" customWidth="true" hidden="false" outlineLevel="0" max="16" min="16" style="0" width="5"/>
  </cols>
  <sheetData>
    <row r="1" customFormat="false" ht="30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customFormat="false" ht="21.75" hidden="false" customHeight="true" outlineLevel="0" collapsed="false">
      <c r="B5" s="3" t="s">
        <v>2</v>
      </c>
      <c r="C5" s="3"/>
      <c r="D5" s="3"/>
      <c r="E5" s="3" t="s">
        <v>3</v>
      </c>
      <c r="F5" s="3"/>
      <c r="G5" s="3"/>
      <c r="H5" s="4" t="s">
        <v>4</v>
      </c>
      <c r="I5" s="4"/>
      <c r="J5" s="4"/>
      <c r="K5" s="5" t="s">
        <v>5</v>
      </c>
      <c r="L5" s="5"/>
      <c r="M5" s="5"/>
      <c r="N5" s="6" t="s">
        <v>6</v>
      </c>
      <c r="O5" s="6"/>
      <c r="P5" s="6"/>
    </row>
    <row r="6" customFormat="false" ht="21.75" hidden="false" customHeight="true" outlineLevel="0" collapsed="false">
      <c r="B6" s="3"/>
      <c r="C6" s="3"/>
      <c r="D6" s="3"/>
      <c r="E6" s="3"/>
      <c r="F6" s="3"/>
      <c r="G6" s="3"/>
      <c r="H6" s="4"/>
      <c r="I6" s="4"/>
      <c r="J6" s="4"/>
      <c r="K6" s="5"/>
      <c r="L6" s="5"/>
      <c r="M6" s="5"/>
      <c r="N6" s="6"/>
      <c r="O6" s="6"/>
      <c r="P6" s="6"/>
    </row>
    <row r="7" customFormat="false" ht="21.75" hidden="false" customHeight="true" outlineLevel="0" collapsed="false">
      <c r="B7" s="7" t="n">
        <f aca="false">'🏊 Resource Pool'!D4</f>
        <v>12</v>
      </c>
      <c r="C7" s="7"/>
      <c r="D7" s="7"/>
      <c r="E7" s="7" t="n">
        <f aca="false">COUNTA('📋 Workstreams'!B4:B13)-COUNTBLANK('📋 Workstreams'!B4:B13)</f>
        <v>10</v>
      </c>
      <c r="F7" s="7"/>
      <c r="G7" s="7"/>
      <c r="H7" s="8" t="n">
        <f aca="false">SUM('📋 Workstreams'!G4:G13)</f>
        <v>0</v>
      </c>
      <c r="I7" s="8"/>
      <c r="J7" s="8"/>
      <c r="K7" s="9" t="n">
        <f aca="false">'🏊 Resource Pool'!D4-SUM('📋 Workstreams'!G4:G13)</f>
        <v>12</v>
      </c>
      <c r="L7" s="9"/>
      <c r="M7" s="9"/>
      <c r="N7" s="10" t="str">
        <f aca="false">IF(SUM('📋 Workstreams'!G4:G13)&gt;'🏊 Resource Pool'!D4,"⚠ YES","✔ OK")</f>
        <v>✔ OK</v>
      </c>
      <c r="O7" s="10"/>
      <c r="P7" s="10"/>
    </row>
    <row r="8" customFormat="false" ht="21.75" hidden="false" customHeight="true" outlineLevel="0" collapsed="false">
      <c r="B8" s="7"/>
      <c r="C8" s="7"/>
      <c r="D8" s="7"/>
      <c r="E8" s="7"/>
      <c r="F8" s="7"/>
      <c r="G8" s="7"/>
      <c r="H8" s="8"/>
      <c r="I8" s="8"/>
      <c r="J8" s="8"/>
      <c r="K8" s="9"/>
      <c r="L8" s="9"/>
      <c r="M8" s="9"/>
      <c r="N8" s="10"/>
      <c r="O8" s="10"/>
      <c r="P8" s="10"/>
    </row>
    <row r="9" customFormat="false" ht="21.75" hidden="false" customHeight="true" outlineLevel="0" collapsed="false">
      <c r="B9" s="7"/>
      <c r="C9" s="7"/>
      <c r="D9" s="7"/>
      <c r="E9" s="7"/>
      <c r="F9" s="7"/>
      <c r="G9" s="7"/>
      <c r="H9" s="8"/>
      <c r="I9" s="8"/>
      <c r="J9" s="8"/>
      <c r="K9" s="9"/>
      <c r="L9" s="9"/>
      <c r="M9" s="9"/>
      <c r="N9" s="10"/>
      <c r="O9" s="10"/>
      <c r="P9" s="10"/>
    </row>
    <row r="10" customFormat="false" ht="9.75" hidden="false" customHeight="true" outlineLevel="0" collapsed="false"/>
    <row r="11" customFormat="false" ht="21.75" hidden="false" customHeight="true" outlineLevel="0" collapsed="false">
      <c r="B11" s="11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customFormat="false" ht="21.75" hidden="false" customHeight="true" outlineLevel="0" collapsed="false">
      <c r="B12" s="12" t="s">
        <v>8</v>
      </c>
      <c r="C12" s="13" t="s">
        <v>9</v>
      </c>
      <c r="D12" s="13"/>
      <c r="E12" s="13" t="s">
        <v>10</v>
      </c>
      <c r="F12" s="13"/>
      <c r="G12" s="13" t="s">
        <v>11</v>
      </c>
      <c r="H12" s="13"/>
      <c r="I12" s="13" t="s">
        <v>12</v>
      </c>
      <c r="J12" s="13"/>
      <c r="K12" s="13" t="s">
        <v>4</v>
      </c>
      <c r="L12" s="13"/>
      <c r="M12" s="13" t="s">
        <v>13</v>
      </c>
      <c r="N12" s="13"/>
      <c r="O12" s="13" t="s">
        <v>14</v>
      </c>
      <c r="P12" s="13"/>
    </row>
    <row r="13" customFormat="false" ht="18" hidden="false" customHeight="true" outlineLevel="0" collapsed="false">
      <c r="B13" s="14" t="n">
        <v>1</v>
      </c>
      <c r="C13" s="15" t="s">
        <v>15</v>
      </c>
      <c r="D13" s="15"/>
      <c r="E13" s="16" t="s">
        <v>16</v>
      </c>
      <c r="F13" s="16"/>
      <c r="G13" s="17" t="s">
        <v>17</v>
      </c>
      <c r="H13" s="17"/>
      <c r="I13" s="18" t="n">
        <v>8</v>
      </c>
      <c r="J13" s="18"/>
      <c r="K13" s="19" t="n">
        <v>3</v>
      </c>
      <c r="L13" s="19"/>
      <c r="M13" s="20" t="n">
        <f aca="false">K13/'🏊 Resource Pool'!D4</f>
        <v>0.25</v>
      </c>
      <c r="N13" s="20"/>
      <c r="O13" s="18" t="str">
        <f aca="false">IF(K13=0,"⚪ Unstarted",IF(E13="High","🔴 High Risk",IF(E13="Medium","🟡 Watch","🟢 OK")))</f>
        <v>🔴 High Risk</v>
      </c>
      <c r="P13" s="18"/>
    </row>
    <row r="14" customFormat="false" ht="18" hidden="false" customHeight="true" outlineLevel="0" collapsed="false">
      <c r="B14" s="21" t="n">
        <v>2</v>
      </c>
      <c r="C14" s="22" t="s">
        <v>18</v>
      </c>
      <c r="D14" s="22"/>
      <c r="E14" s="16" t="s">
        <v>16</v>
      </c>
      <c r="F14" s="16"/>
      <c r="G14" s="17" t="s">
        <v>17</v>
      </c>
      <c r="H14" s="17"/>
      <c r="I14" s="23" t="n">
        <v>5</v>
      </c>
      <c r="J14" s="23"/>
      <c r="K14" s="24" t="n">
        <v>2.5</v>
      </c>
      <c r="L14" s="24"/>
      <c r="M14" s="25" t="n">
        <f aca="false">K14/'🏊 Resource Pool'!D4</f>
        <v>0.208333333333333</v>
      </c>
      <c r="N14" s="25"/>
      <c r="O14" s="23" t="str">
        <f aca="false">IF(K14=0,"⚪ Unstarted",IF(E14="High","🔴 High Risk",IF(E14="Medium","🟡 Watch","🟢 OK")))</f>
        <v>🔴 High Risk</v>
      </c>
      <c r="P14" s="23"/>
    </row>
    <row r="15" customFormat="false" ht="18" hidden="false" customHeight="true" outlineLevel="0" collapsed="false">
      <c r="B15" s="14" t="n">
        <v>3</v>
      </c>
      <c r="C15" s="15" t="s">
        <v>19</v>
      </c>
      <c r="D15" s="15"/>
      <c r="E15" s="26" t="s">
        <v>20</v>
      </c>
      <c r="F15" s="26"/>
      <c r="G15" s="17" t="s">
        <v>17</v>
      </c>
      <c r="H15" s="17"/>
      <c r="I15" s="18" t="n">
        <v>6</v>
      </c>
      <c r="J15" s="18"/>
      <c r="K15" s="19" t="n">
        <v>1.5</v>
      </c>
      <c r="L15" s="19"/>
      <c r="M15" s="20" t="n">
        <f aca="false">K15/'🏊 Resource Pool'!D4</f>
        <v>0.125</v>
      </c>
      <c r="N15" s="20"/>
      <c r="O15" s="18" t="str">
        <f aca="false">IF(K15=0,"⚪ Unstarted",IF(E15="High","🔴 High Risk",IF(E15="Medium","🟡 Watch","🟢 OK")))</f>
        <v>🟡 Watch</v>
      </c>
      <c r="P15" s="18"/>
    </row>
    <row r="16" customFormat="false" ht="18" hidden="false" customHeight="true" outlineLevel="0" collapsed="false">
      <c r="B16" s="21" t="n">
        <v>4</v>
      </c>
      <c r="C16" s="22" t="s">
        <v>21</v>
      </c>
      <c r="D16" s="22"/>
      <c r="E16" s="26" t="s">
        <v>20</v>
      </c>
      <c r="F16" s="26"/>
      <c r="G16" s="27" t="s">
        <v>22</v>
      </c>
      <c r="H16" s="27"/>
      <c r="I16" s="23" t="n">
        <v>4</v>
      </c>
      <c r="J16" s="23"/>
      <c r="K16" s="24" t="n">
        <v>1</v>
      </c>
      <c r="L16" s="24"/>
      <c r="M16" s="25" t="n">
        <f aca="false">K16/'🏊 Resource Pool'!D4</f>
        <v>0.0833333333333333</v>
      </c>
      <c r="N16" s="25"/>
      <c r="O16" s="23" t="str">
        <f aca="false">IF(K16=0,"⚪ Unstarted",IF(E16="High","🔴 High Risk",IF(E16="Medium","🟡 Watch","🟢 OK")))</f>
        <v>🟡 Watch</v>
      </c>
      <c r="P16" s="23"/>
    </row>
    <row r="17" customFormat="false" ht="18" hidden="false" customHeight="true" outlineLevel="0" collapsed="false">
      <c r="B17" s="14" t="n">
        <v>5</v>
      </c>
      <c r="C17" s="15" t="s">
        <v>23</v>
      </c>
      <c r="D17" s="15"/>
      <c r="E17" s="17" t="s">
        <v>24</v>
      </c>
      <c r="F17" s="17"/>
      <c r="G17" s="28" t="s">
        <v>25</v>
      </c>
      <c r="H17" s="28"/>
      <c r="I17" s="18" t="n">
        <v>3</v>
      </c>
      <c r="J17" s="18"/>
      <c r="K17" s="19" t="n">
        <v>0</v>
      </c>
      <c r="L17" s="19"/>
      <c r="M17" s="20" t="n">
        <f aca="false">K17/'🏊 Resource Pool'!D4</f>
        <v>0</v>
      </c>
      <c r="N17" s="20"/>
      <c r="O17" s="18" t="str">
        <f aca="false">IF(K17=0,"⚪ Unstarted",IF(E17="High","🔴 High Risk",IF(E17="Medium","🟡 Watch","🟢 OK")))</f>
        <v>⚪ Unstarted</v>
      </c>
      <c r="P17" s="18"/>
    </row>
    <row r="18" customFormat="false" ht="18" hidden="false" customHeight="true" outlineLevel="0" collapsed="false">
      <c r="B18" s="21" t="n">
        <v>6</v>
      </c>
      <c r="C18" s="22" t="s">
        <v>26</v>
      </c>
      <c r="D18" s="22"/>
      <c r="E18" s="16" t="s">
        <v>16</v>
      </c>
      <c r="F18" s="16"/>
      <c r="G18" s="17" t="s">
        <v>17</v>
      </c>
      <c r="H18" s="17"/>
      <c r="I18" s="23" t="n">
        <v>7</v>
      </c>
      <c r="J18" s="23"/>
      <c r="K18" s="24" t="n">
        <v>2</v>
      </c>
      <c r="L18" s="24"/>
      <c r="M18" s="25" t="n">
        <f aca="false">K18/'🏊 Resource Pool'!D4</f>
        <v>0.166666666666667</v>
      </c>
      <c r="N18" s="25"/>
      <c r="O18" s="23" t="str">
        <f aca="false">IF(K18=0,"⚪ Unstarted",IF(E18="High","🔴 High Risk",IF(E18="Medium","🟡 Watch","🟢 OK")))</f>
        <v>🔴 High Risk</v>
      </c>
      <c r="P18" s="23"/>
    </row>
    <row r="19" customFormat="false" ht="18" hidden="false" customHeight="true" outlineLevel="0" collapsed="false">
      <c r="B19" s="14" t="n">
        <v>7</v>
      </c>
      <c r="C19" s="15" t="s">
        <v>27</v>
      </c>
      <c r="D19" s="15"/>
      <c r="E19" s="26" t="s">
        <v>20</v>
      </c>
      <c r="F19" s="26"/>
      <c r="G19" s="17" t="s">
        <v>17</v>
      </c>
      <c r="H19" s="17"/>
      <c r="I19" s="18" t="n">
        <v>5</v>
      </c>
      <c r="J19" s="18"/>
      <c r="K19" s="19" t="n">
        <v>1.5</v>
      </c>
      <c r="L19" s="19"/>
      <c r="M19" s="20" t="n">
        <f aca="false">K19/'🏊 Resource Pool'!D4</f>
        <v>0.125</v>
      </c>
      <c r="N19" s="20"/>
      <c r="O19" s="18" t="str">
        <f aca="false">IF(K19=0,"⚪ Unstarted",IF(E19="High","🔴 High Risk",IF(E19="Medium","🟡 Watch","🟢 OK")))</f>
        <v>🟡 Watch</v>
      </c>
      <c r="P19" s="18"/>
    </row>
    <row r="20" customFormat="false" ht="18" hidden="false" customHeight="true" outlineLevel="0" collapsed="false">
      <c r="B20" s="21" t="n">
        <v>8</v>
      </c>
      <c r="C20" s="22" t="s">
        <v>28</v>
      </c>
      <c r="D20" s="22"/>
      <c r="E20" s="17" t="s">
        <v>24</v>
      </c>
      <c r="F20" s="17"/>
      <c r="G20" s="27" t="s">
        <v>22</v>
      </c>
      <c r="H20" s="27"/>
      <c r="I20" s="23" t="n">
        <v>4</v>
      </c>
      <c r="J20" s="23"/>
      <c r="K20" s="24" t="n">
        <v>0.5</v>
      </c>
      <c r="L20" s="24"/>
      <c r="M20" s="25" t="n">
        <f aca="false">K20/'🏊 Resource Pool'!D4</f>
        <v>0.0416666666666667</v>
      </c>
      <c r="N20" s="25"/>
      <c r="O20" s="23" t="str">
        <f aca="false">IF(K20=0,"⚪ Unstarted",IF(E20="High","🔴 High Risk",IF(E20="Medium","🟡 Watch","🟢 OK")))</f>
        <v>🟢 OK</v>
      </c>
      <c r="P20" s="23"/>
    </row>
    <row r="21" customFormat="false" ht="18" hidden="false" customHeight="true" outlineLevel="0" collapsed="false">
      <c r="B21" s="14" t="n">
        <v>9</v>
      </c>
      <c r="C21" s="15" t="s">
        <v>29</v>
      </c>
      <c r="D21" s="15"/>
      <c r="E21" s="16" t="s">
        <v>16</v>
      </c>
      <c r="F21" s="16"/>
      <c r="G21" s="17" t="s">
        <v>17</v>
      </c>
      <c r="H21" s="17"/>
      <c r="I21" s="18" t="n">
        <v>6</v>
      </c>
      <c r="J21" s="18"/>
      <c r="K21" s="19" t="n">
        <v>2</v>
      </c>
      <c r="L21" s="19"/>
      <c r="M21" s="20" t="n">
        <f aca="false">K21/'🏊 Resource Pool'!D4</f>
        <v>0.166666666666667</v>
      </c>
      <c r="N21" s="20"/>
      <c r="O21" s="18" t="str">
        <f aca="false">IF(K21=0,"⚪ Unstarted",IF(E21="High","🔴 High Risk",IF(E21="Medium","🟡 Watch","🟢 OK")))</f>
        <v>🔴 High Risk</v>
      </c>
      <c r="P21" s="18"/>
    </row>
    <row r="22" customFormat="false" ht="18" hidden="false" customHeight="true" outlineLevel="0" collapsed="false">
      <c r="B22" s="21" t="n">
        <v>10</v>
      </c>
      <c r="C22" s="22" t="s">
        <v>30</v>
      </c>
      <c r="D22" s="22"/>
      <c r="E22" s="26" t="s">
        <v>20</v>
      </c>
      <c r="F22" s="26"/>
      <c r="G22" s="28" t="s">
        <v>25</v>
      </c>
      <c r="H22" s="28"/>
      <c r="I22" s="23" t="n">
        <v>3</v>
      </c>
      <c r="J22" s="23"/>
      <c r="K22" s="24" t="n">
        <v>0.5</v>
      </c>
      <c r="L22" s="24"/>
      <c r="M22" s="25" t="n">
        <f aca="false">K22/'🏊 Resource Pool'!D4</f>
        <v>0.0416666666666667</v>
      </c>
      <c r="N22" s="25"/>
      <c r="O22" s="23" t="str">
        <f aca="false">IF(K22=0,"⚪ Unstarted",IF(E22="High","🔴 High Risk",IF(E22="Medium","🟡 Watch","🟢 OK")))</f>
        <v>🟡 Watch</v>
      </c>
      <c r="P22" s="23"/>
    </row>
    <row r="23" customFormat="false" ht="19.5" hidden="false" customHeight="true" outlineLevel="0" collapsed="false">
      <c r="C23" s="29" t="s">
        <v>31</v>
      </c>
      <c r="D23" s="29"/>
      <c r="K23" s="30" t="n">
        <f aca="false">SUM(K13:K22)</f>
        <v>14.5</v>
      </c>
      <c r="L23" s="30"/>
      <c r="M23" s="31" t="n">
        <f aca="false">SUM(M13:M22)</f>
        <v>1.20833333333333</v>
      </c>
      <c r="N23" s="31"/>
    </row>
    <row r="25" customFormat="false" ht="21.75" hidden="false" customHeight="true" outlineLevel="0" collapsed="false">
      <c r="B25" s="32" t="str">
        <f aca="false">IF(SUM('📋 Workstreams'!G4:G13)&gt;'🏊 Resource Pool'!D4,"⚠  OVER CAPACITY — Total allocated FTEs exceed the resource pool. Review workstream priorities and defer low-priority initiatives.","✔  Capacity within limits — All workstreams are within the available resource pool.")</f>
        <v>✔  Capacity within limits — All workstreams are within the available resource pool.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customFormat="false" ht="21.75" hidden="false" customHeight="true" outlineLevel="0" collapsed="false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customFormat="false" ht="21.75" hidden="false" customHeight="true" outlineLevel="0" collapsed="false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</sheetData>
  <mergeCells count="94">
    <mergeCell ref="B1:N2"/>
    <mergeCell ref="B3:N3"/>
    <mergeCell ref="B5:D6"/>
    <mergeCell ref="E5:G6"/>
    <mergeCell ref="H5:J6"/>
    <mergeCell ref="K5:M6"/>
    <mergeCell ref="N5:P6"/>
    <mergeCell ref="B7:D9"/>
    <mergeCell ref="E7:G9"/>
    <mergeCell ref="H7:J9"/>
    <mergeCell ref="K7:M9"/>
    <mergeCell ref="N7:P9"/>
    <mergeCell ref="B11:P11"/>
    <mergeCell ref="C12:D12"/>
    <mergeCell ref="E12:F12"/>
    <mergeCell ref="G12:H12"/>
    <mergeCell ref="I12:J12"/>
    <mergeCell ref="K12:L12"/>
    <mergeCell ref="M12:N12"/>
    <mergeCell ref="O12:P12"/>
    <mergeCell ref="C13:D13"/>
    <mergeCell ref="E13:F13"/>
    <mergeCell ref="G13:H13"/>
    <mergeCell ref="I13:J13"/>
    <mergeCell ref="K13:L13"/>
    <mergeCell ref="M13:N13"/>
    <mergeCell ref="O13:P13"/>
    <mergeCell ref="C14:D14"/>
    <mergeCell ref="E14:F14"/>
    <mergeCell ref="G14:H14"/>
    <mergeCell ref="I14:J14"/>
    <mergeCell ref="K14:L14"/>
    <mergeCell ref="M14:N14"/>
    <mergeCell ref="O14:P14"/>
    <mergeCell ref="C15:D15"/>
    <mergeCell ref="E15:F15"/>
    <mergeCell ref="G15:H15"/>
    <mergeCell ref="I15:J15"/>
    <mergeCell ref="K15:L15"/>
    <mergeCell ref="M15:N15"/>
    <mergeCell ref="O15:P15"/>
    <mergeCell ref="C16:D16"/>
    <mergeCell ref="E16:F16"/>
    <mergeCell ref="G16:H16"/>
    <mergeCell ref="I16:J16"/>
    <mergeCell ref="K16:L16"/>
    <mergeCell ref="M16:N16"/>
    <mergeCell ref="O16:P16"/>
    <mergeCell ref="C17:D17"/>
    <mergeCell ref="E17:F17"/>
    <mergeCell ref="G17:H17"/>
    <mergeCell ref="I17:J17"/>
    <mergeCell ref="K17:L17"/>
    <mergeCell ref="M17:N17"/>
    <mergeCell ref="O17:P17"/>
    <mergeCell ref="C18:D18"/>
    <mergeCell ref="E18:F18"/>
    <mergeCell ref="G18:H18"/>
    <mergeCell ref="I18:J18"/>
    <mergeCell ref="K18:L18"/>
    <mergeCell ref="M18:N18"/>
    <mergeCell ref="O18:P18"/>
    <mergeCell ref="C19:D19"/>
    <mergeCell ref="E19:F19"/>
    <mergeCell ref="G19:H19"/>
    <mergeCell ref="I19:J19"/>
    <mergeCell ref="K19:L19"/>
    <mergeCell ref="M19:N19"/>
    <mergeCell ref="O19:P19"/>
    <mergeCell ref="C20:D20"/>
    <mergeCell ref="E20:F20"/>
    <mergeCell ref="G20:H20"/>
    <mergeCell ref="I20:J20"/>
    <mergeCell ref="K20:L20"/>
    <mergeCell ref="M20:N20"/>
    <mergeCell ref="O20:P20"/>
    <mergeCell ref="C21:D21"/>
    <mergeCell ref="E21:F21"/>
    <mergeCell ref="G21:H21"/>
    <mergeCell ref="I21:J21"/>
    <mergeCell ref="K21:L21"/>
    <mergeCell ref="M21:N21"/>
    <mergeCell ref="O21:P21"/>
    <mergeCell ref="C22:D22"/>
    <mergeCell ref="E22:F22"/>
    <mergeCell ref="G22:H22"/>
    <mergeCell ref="I22:J22"/>
    <mergeCell ref="K22:L22"/>
    <mergeCell ref="M22:N22"/>
    <mergeCell ref="O22:P22"/>
    <mergeCell ref="C23:D23"/>
    <mergeCell ref="K23:L23"/>
    <mergeCell ref="M23:N23"/>
    <mergeCell ref="B25:P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B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4" min="3" style="0" width="22"/>
    <col collapsed="false" customWidth="true" hidden="false" outlineLevel="0" max="8" min="5" style="0" width="14"/>
    <col collapsed="false" customWidth="true" hidden="false" outlineLevel="0" max="9" min="9" style="0" width="24"/>
  </cols>
  <sheetData>
    <row r="1" customFormat="false" ht="27.75" hidden="false" customHeight="true" outlineLevel="0" collapsed="false">
      <c r="B1" s="33" t="s">
        <v>32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8" hidden="false" customHeight="true" outlineLevel="0" collapsed="false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4" customFormat="false" ht="26.85" hidden="false" customHeight="true" outlineLevel="0" collapsed="false">
      <c r="B4" s="34" t="s">
        <v>33</v>
      </c>
      <c r="C4" s="34"/>
      <c r="D4" s="35" t="n">
        <v>12</v>
      </c>
    </row>
    <row r="6" customFormat="false" ht="21.75" hidden="false" customHeight="true" outlineLevel="0" collapsed="false">
      <c r="B6" s="12" t="s">
        <v>8</v>
      </c>
      <c r="C6" s="12" t="s">
        <v>34</v>
      </c>
      <c r="D6" s="12" t="s">
        <v>35</v>
      </c>
      <c r="E6" s="12" t="s">
        <v>36</v>
      </c>
      <c r="F6" s="12" t="s">
        <v>37</v>
      </c>
      <c r="G6" s="12" t="s">
        <v>38</v>
      </c>
      <c r="H6" s="12" t="s">
        <v>39</v>
      </c>
      <c r="I6" s="12" t="s">
        <v>40</v>
      </c>
    </row>
    <row r="7" customFormat="false" ht="18" hidden="false" customHeight="true" outlineLevel="0" collapsed="false">
      <c r="B7" s="36" t="n">
        <v>1</v>
      </c>
      <c r="C7" s="37" t="s">
        <v>41</v>
      </c>
      <c r="D7" s="36" t="s">
        <v>42</v>
      </c>
      <c r="E7" s="36" t="s">
        <v>43</v>
      </c>
      <c r="F7" s="36" t="n">
        <v>1</v>
      </c>
      <c r="G7" s="38" t="n">
        <v>0</v>
      </c>
      <c r="H7" s="39" t="n">
        <f aca="false">F7-G7</f>
        <v>1</v>
      </c>
      <c r="I7" s="40"/>
    </row>
    <row r="8" customFormat="false" ht="18" hidden="false" customHeight="true" outlineLevel="0" collapsed="false">
      <c r="B8" s="41" t="n">
        <v>2</v>
      </c>
      <c r="C8" s="42" t="s">
        <v>44</v>
      </c>
      <c r="D8" s="41" t="s">
        <v>45</v>
      </c>
      <c r="E8" s="41" t="s">
        <v>46</v>
      </c>
      <c r="F8" s="41" t="n">
        <v>1</v>
      </c>
      <c r="G8" s="38" t="n">
        <v>0</v>
      </c>
      <c r="H8" s="43" t="n">
        <f aca="false">F8-G8</f>
        <v>1</v>
      </c>
      <c r="I8" s="40"/>
    </row>
    <row r="9" customFormat="false" ht="18" hidden="false" customHeight="true" outlineLevel="0" collapsed="false">
      <c r="B9" s="36" t="n">
        <v>3</v>
      </c>
      <c r="C9" s="37" t="s">
        <v>47</v>
      </c>
      <c r="D9" s="36" t="s">
        <v>45</v>
      </c>
      <c r="E9" s="36" t="s">
        <v>43</v>
      </c>
      <c r="F9" s="36" t="n">
        <v>1</v>
      </c>
      <c r="G9" s="38" t="n">
        <v>0</v>
      </c>
      <c r="H9" s="39" t="n">
        <f aca="false">F9-G9</f>
        <v>1</v>
      </c>
      <c r="I9" s="40"/>
    </row>
    <row r="10" customFormat="false" ht="18" hidden="false" customHeight="true" outlineLevel="0" collapsed="false">
      <c r="B10" s="41" t="n">
        <v>4</v>
      </c>
      <c r="C10" s="42" t="s">
        <v>48</v>
      </c>
      <c r="D10" s="41" t="s">
        <v>49</v>
      </c>
      <c r="E10" s="41" t="s">
        <v>46</v>
      </c>
      <c r="F10" s="41" t="n">
        <v>1</v>
      </c>
      <c r="G10" s="38" t="n">
        <v>0</v>
      </c>
      <c r="H10" s="43" t="n">
        <f aca="false">F10-G10</f>
        <v>1</v>
      </c>
      <c r="I10" s="40"/>
    </row>
    <row r="11" customFormat="false" ht="18" hidden="false" customHeight="true" outlineLevel="0" collapsed="false">
      <c r="B11" s="36" t="n">
        <v>5</v>
      </c>
      <c r="C11" s="37" t="s">
        <v>50</v>
      </c>
      <c r="D11" s="36" t="s">
        <v>51</v>
      </c>
      <c r="E11" s="36" t="s">
        <v>43</v>
      </c>
      <c r="F11" s="36" t="n">
        <v>1</v>
      </c>
      <c r="G11" s="38" t="n">
        <v>0</v>
      </c>
      <c r="H11" s="39" t="n">
        <f aca="false">F11-G11</f>
        <v>1</v>
      </c>
      <c r="I11" s="40"/>
    </row>
    <row r="12" customFormat="false" ht="18" hidden="false" customHeight="true" outlineLevel="0" collapsed="false">
      <c r="B12" s="41" t="n">
        <v>6</v>
      </c>
      <c r="C12" s="42" t="s">
        <v>52</v>
      </c>
      <c r="D12" s="41" t="s">
        <v>45</v>
      </c>
      <c r="E12" s="41" t="s">
        <v>53</v>
      </c>
      <c r="F12" s="41" t="n">
        <v>1</v>
      </c>
      <c r="G12" s="38" t="n">
        <v>0</v>
      </c>
      <c r="H12" s="43" t="n">
        <f aca="false">F12-G12</f>
        <v>1</v>
      </c>
      <c r="I12" s="40"/>
    </row>
    <row r="13" customFormat="false" ht="18" hidden="false" customHeight="true" outlineLevel="0" collapsed="false">
      <c r="B13" s="36" t="n">
        <v>7</v>
      </c>
      <c r="C13" s="37" t="s">
        <v>54</v>
      </c>
      <c r="D13" s="36" t="s">
        <v>55</v>
      </c>
      <c r="E13" s="36" t="s">
        <v>46</v>
      </c>
      <c r="F13" s="36" t="n">
        <v>1</v>
      </c>
      <c r="G13" s="38" t="n">
        <v>0</v>
      </c>
      <c r="H13" s="39" t="n">
        <f aca="false">F13-G13</f>
        <v>1</v>
      </c>
      <c r="I13" s="40"/>
    </row>
    <row r="14" customFormat="false" ht="18" hidden="false" customHeight="true" outlineLevel="0" collapsed="false">
      <c r="B14" s="41" t="n">
        <v>8</v>
      </c>
      <c r="C14" s="42" t="s">
        <v>56</v>
      </c>
      <c r="D14" s="41" t="s">
        <v>57</v>
      </c>
      <c r="E14" s="41" t="s">
        <v>43</v>
      </c>
      <c r="F14" s="41" t="n">
        <v>1</v>
      </c>
      <c r="G14" s="38" t="n">
        <v>0</v>
      </c>
      <c r="H14" s="43" t="n">
        <f aca="false">F14-G14</f>
        <v>1</v>
      </c>
      <c r="I14" s="40"/>
    </row>
    <row r="15" customFormat="false" ht="18" hidden="false" customHeight="true" outlineLevel="0" collapsed="false">
      <c r="B15" s="36" t="n">
        <v>9</v>
      </c>
      <c r="C15" s="37" t="s">
        <v>58</v>
      </c>
      <c r="D15" s="36" t="s">
        <v>45</v>
      </c>
      <c r="E15" s="36" t="s">
        <v>46</v>
      </c>
      <c r="F15" s="36" t="n">
        <v>1</v>
      </c>
      <c r="G15" s="38" t="n">
        <v>0</v>
      </c>
      <c r="H15" s="39" t="n">
        <f aca="false">F15-G15</f>
        <v>1</v>
      </c>
      <c r="I15" s="40"/>
    </row>
    <row r="16" customFormat="false" ht="18" hidden="false" customHeight="true" outlineLevel="0" collapsed="false">
      <c r="B16" s="41" t="n">
        <v>10</v>
      </c>
      <c r="C16" s="42" t="s">
        <v>59</v>
      </c>
      <c r="D16" s="41" t="s">
        <v>60</v>
      </c>
      <c r="E16" s="41" t="s">
        <v>46</v>
      </c>
      <c r="F16" s="41" t="n">
        <v>1</v>
      </c>
      <c r="G16" s="38" t="n">
        <v>0</v>
      </c>
      <c r="H16" s="43" t="n">
        <f aca="false">F16-G16</f>
        <v>1</v>
      </c>
      <c r="I16" s="40"/>
    </row>
    <row r="17" customFormat="false" ht="18" hidden="false" customHeight="true" outlineLevel="0" collapsed="false">
      <c r="B17" s="36" t="n">
        <v>11</v>
      </c>
      <c r="C17" s="37" t="s">
        <v>61</v>
      </c>
      <c r="D17" s="36" t="s">
        <v>49</v>
      </c>
      <c r="E17" s="36" t="s">
        <v>43</v>
      </c>
      <c r="F17" s="36" t="n">
        <v>1</v>
      </c>
      <c r="G17" s="38" t="n">
        <v>0</v>
      </c>
      <c r="H17" s="39" t="n">
        <f aca="false">F17-G17</f>
        <v>1</v>
      </c>
      <c r="I17" s="40"/>
    </row>
    <row r="18" customFormat="false" ht="18" hidden="false" customHeight="true" outlineLevel="0" collapsed="false">
      <c r="B18" s="41" t="n">
        <v>12</v>
      </c>
      <c r="C18" s="42" t="s">
        <v>62</v>
      </c>
      <c r="D18" s="41" t="s">
        <v>45</v>
      </c>
      <c r="E18" s="41" t="s">
        <v>53</v>
      </c>
      <c r="F18" s="41" t="n">
        <v>1</v>
      </c>
      <c r="G18" s="38" t="n">
        <v>0</v>
      </c>
      <c r="H18" s="43" t="n">
        <f aca="false">F18-G18</f>
        <v>1</v>
      </c>
      <c r="I18" s="40"/>
    </row>
    <row r="19" customFormat="false" ht="19.5" hidden="false" customHeight="true" outlineLevel="0" collapsed="false">
      <c r="C19" s="44" t="s">
        <v>31</v>
      </c>
      <c r="F19" s="45" t="n">
        <f aca="false">SUM(F7:F18)</f>
        <v>12</v>
      </c>
      <c r="G19" s="45" t="n">
        <f aca="false">SUM(G7:G18)</f>
        <v>0</v>
      </c>
      <c r="H19" s="45" t="n">
        <f aca="false">SUM(H7:H18)</f>
        <v>12</v>
      </c>
    </row>
    <row r="21" customFormat="false" ht="15" hidden="false" customHeight="false" outlineLevel="0" collapsed="false">
      <c r="B21" s="46" t="s">
        <v>63</v>
      </c>
      <c r="C21" s="46"/>
      <c r="D21" s="46"/>
      <c r="E21" s="46"/>
      <c r="F21" s="46"/>
      <c r="G21" s="46"/>
      <c r="H21" s="46"/>
      <c r="I21" s="46"/>
    </row>
  </sheetData>
  <mergeCells count="3">
    <mergeCell ref="B1:L2"/>
    <mergeCell ref="B4:C4"/>
    <mergeCell ref="B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B1:O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4"/>
    <col collapsed="false" customWidth="true" hidden="false" outlineLevel="0" max="12" min="10" style="0" width="12"/>
    <col collapsed="false" customWidth="true" hidden="false" outlineLevel="0" max="14" min="13" style="0" width="28"/>
  </cols>
  <sheetData>
    <row r="1" customFormat="false" ht="27.75" hidden="false" customHeight="true" outlineLevel="0" collapsed="false">
      <c r="B1" s="33" t="s">
        <v>64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customFormat="false" ht="18" hidden="false" customHeight="true" outlineLevel="0" collapsed="false"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</row>
    <row r="3" customFormat="false" ht="21.75" hidden="false" customHeight="true" outlineLevel="0" collapsed="false">
      <c r="B3" s="12" t="s">
        <v>8</v>
      </c>
      <c r="C3" s="12" t="s">
        <v>65</v>
      </c>
      <c r="D3" s="12" t="s">
        <v>66</v>
      </c>
      <c r="E3" s="12" t="s">
        <v>10</v>
      </c>
      <c r="F3" s="12" t="s">
        <v>11</v>
      </c>
      <c r="G3" s="12" t="s">
        <v>67</v>
      </c>
      <c r="H3" s="12" t="s">
        <v>68</v>
      </c>
      <c r="I3" s="12" t="s">
        <v>4</v>
      </c>
      <c r="J3" s="12" t="s">
        <v>69</v>
      </c>
      <c r="K3" s="12" t="s">
        <v>70</v>
      </c>
      <c r="L3" s="12" t="s">
        <v>71</v>
      </c>
      <c r="M3" s="12" t="s">
        <v>72</v>
      </c>
      <c r="N3" s="12" t="s">
        <v>73</v>
      </c>
    </row>
    <row r="4" customFormat="false" ht="18" hidden="false" customHeight="true" outlineLevel="0" collapsed="false">
      <c r="B4" s="36" t="n">
        <v>1</v>
      </c>
      <c r="C4" s="37" t="s">
        <v>15</v>
      </c>
      <c r="D4" s="37" t="s">
        <v>74</v>
      </c>
      <c r="E4" s="36" t="s">
        <v>16</v>
      </c>
      <c r="F4" s="36" t="s">
        <v>17</v>
      </c>
      <c r="G4" s="36" t="s">
        <v>75</v>
      </c>
      <c r="H4" s="36" t="s">
        <v>76</v>
      </c>
      <c r="I4" s="36" t="n">
        <v>3</v>
      </c>
      <c r="J4" s="47" t="n">
        <v>150</v>
      </c>
      <c r="K4" s="47" t="n">
        <v>67</v>
      </c>
      <c r="L4" s="48" t="n">
        <v>0.45</v>
      </c>
      <c r="M4" s="37" t="s">
        <v>77</v>
      </c>
      <c r="N4" s="37"/>
    </row>
    <row r="5" customFormat="false" ht="18" hidden="false" customHeight="true" outlineLevel="0" collapsed="false">
      <c r="B5" s="41" t="n">
        <v>2</v>
      </c>
      <c r="C5" s="42" t="s">
        <v>18</v>
      </c>
      <c r="D5" s="42" t="s">
        <v>78</v>
      </c>
      <c r="E5" s="41" t="s">
        <v>16</v>
      </c>
      <c r="F5" s="41" t="s">
        <v>17</v>
      </c>
      <c r="G5" s="41" t="s">
        <v>75</v>
      </c>
      <c r="H5" s="41" t="s">
        <v>76</v>
      </c>
      <c r="I5" s="41" t="n">
        <v>2.5</v>
      </c>
      <c r="J5" s="49" t="n">
        <v>120</v>
      </c>
      <c r="K5" s="49" t="n">
        <v>72</v>
      </c>
      <c r="L5" s="50" t="n">
        <v>0.6</v>
      </c>
      <c r="M5" s="42" t="s">
        <v>77</v>
      </c>
      <c r="N5" s="42"/>
    </row>
    <row r="6" customFormat="false" ht="18" hidden="false" customHeight="true" outlineLevel="0" collapsed="false">
      <c r="B6" s="36" t="n">
        <v>3</v>
      </c>
      <c r="C6" s="37" t="s">
        <v>19</v>
      </c>
      <c r="D6" s="37" t="s">
        <v>79</v>
      </c>
      <c r="E6" s="36" t="s">
        <v>20</v>
      </c>
      <c r="F6" s="36" t="s">
        <v>17</v>
      </c>
      <c r="G6" s="36" t="s">
        <v>75</v>
      </c>
      <c r="H6" s="36" t="s">
        <v>76</v>
      </c>
      <c r="I6" s="36" t="n">
        <v>1.5</v>
      </c>
      <c r="J6" s="47" t="n">
        <v>80</v>
      </c>
      <c r="K6" s="47" t="n">
        <v>24</v>
      </c>
      <c r="L6" s="48" t="n">
        <v>0.3</v>
      </c>
      <c r="M6" s="37" t="s">
        <v>77</v>
      </c>
      <c r="N6" s="37"/>
    </row>
    <row r="7" customFormat="false" ht="18" hidden="false" customHeight="true" outlineLevel="0" collapsed="false">
      <c r="B7" s="41" t="n">
        <v>4</v>
      </c>
      <c r="C7" s="42" t="s">
        <v>21</v>
      </c>
      <c r="D7" s="42" t="s">
        <v>80</v>
      </c>
      <c r="E7" s="41" t="s">
        <v>20</v>
      </c>
      <c r="F7" s="41" t="s">
        <v>22</v>
      </c>
      <c r="G7" s="41" t="s">
        <v>75</v>
      </c>
      <c r="H7" s="41" t="s">
        <v>76</v>
      </c>
      <c r="I7" s="41" t="n">
        <v>1</v>
      </c>
      <c r="J7" s="49" t="n">
        <v>50</v>
      </c>
      <c r="K7" s="49" t="n">
        <v>5</v>
      </c>
      <c r="L7" s="50" t="n">
        <v>0.1</v>
      </c>
      <c r="M7" s="42" t="s">
        <v>77</v>
      </c>
      <c r="N7" s="42"/>
    </row>
    <row r="8" customFormat="false" ht="18" hidden="false" customHeight="true" outlineLevel="0" collapsed="false">
      <c r="B8" s="36" t="n">
        <v>5</v>
      </c>
      <c r="C8" s="37" t="s">
        <v>23</v>
      </c>
      <c r="D8" s="37" t="s">
        <v>81</v>
      </c>
      <c r="E8" s="36" t="s">
        <v>24</v>
      </c>
      <c r="F8" s="36" t="s">
        <v>25</v>
      </c>
      <c r="G8" s="36" t="s">
        <v>75</v>
      </c>
      <c r="H8" s="36" t="s">
        <v>76</v>
      </c>
      <c r="I8" s="36" t="n">
        <v>0</v>
      </c>
      <c r="J8" s="47" t="n">
        <v>30</v>
      </c>
      <c r="K8" s="47" t="n">
        <v>0</v>
      </c>
      <c r="L8" s="48" t="n">
        <v>0</v>
      </c>
      <c r="M8" s="37" t="s">
        <v>77</v>
      </c>
      <c r="N8" s="37"/>
    </row>
    <row r="9" customFormat="false" ht="18" hidden="false" customHeight="true" outlineLevel="0" collapsed="false">
      <c r="B9" s="41" t="n">
        <v>6</v>
      </c>
      <c r="C9" s="42" t="s">
        <v>26</v>
      </c>
      <c r="D9" s="42" t="s">
        <v>82</v>
      </c>
      <c r="E9" s="41" t="s">
        <v>16</v>
      </c>
      <c r="F9" s="41" t="s">
        <v>17</v>
      </c>
      <c r="G9" s="41" t="s">
        <v>75</v>
      </c>
      <c r="H9" s="41" t="s">
        <v>76</v>
      </c>
      <c r="I9" s="41" t="n">
        <v>2</v>
      </c>
      <c r="J9" s="49" t="n">
        <v>100</v>
      </c>
      <c r="K9" s="49" t="n">
        <v>55</v>
      </c>
      <c r="L9" s="50" t="n">
        <v>0.55</v>
      </c>
      <c r="M9" s="42" t="s">
        <v>77</v>
      </c>
      <c r="N9" s="42"/>
    </row>
    <row r="10" customFormat="false" ht="18" hidden="false" customHeight="true" outlineLevel="0" collapsed="false">
      <c r="B10" s="36" t="n">
        <v>7</v>
      </c>
      <c r="C10" s="37" t="s">
        <v>27</v>
      </c>
      <c r="D10" s="37" t="s">
        <v>83</v>
      </c>
      <c r="E10" s="36" t="s">
        <v>20</v>
      </c>
      <c r="F10" s="36" t="s">
        <v>17</v>
      </c>
      <c r="G10" s="36" t="s">
        <v>75</v>
      </c>
      <c r="H10" s="36" t="s">
        <v>76</v>
      </c>
      <c r="I10" s="36" t="n">
        <v>1.5</v>
      </c>
      <c r="J10" s="47" t="n">
        <v>90</v>
      </c>
      <c r="K10" s="47" t="n">
        <v>36</v>
      </c>
      <c r="L10" s="48" t="n">
        <v>0.4</v>
      </c>
      <c r="M10" s="37" t="s">
        <v>77</v>
      </c>
      <c r="N10" s="37"/>
    </row>
    <row r="11" customFormat="false" ht="18" hidden="false" customHeight="true" outlineLevel="0" collapsed="false">
      <c r="B11" s="41" t="n">
        <v>8</v>
      </c>
      <c r="C11" s="42" t="s">
        <v>28</v>
      </c>
      <c r="D11" s="42" t="s">
        <v>84</v>
      </c>
      <c r="E11" s="41" t="s">
        <v>24</v>
      </c>
      <c r="F11" s="41" t="s">
        <v>22</v>
      </c>
      <c r="G11" s="41" t="s">
        <v>75</v>
      </c>
      <c r="H11" s="41" t="s">
        <v>76</v>
      </c>
      <c r="I11" s="41" t="n">
        <v>0.5</v>
      </c>
      <c r="J11" s="49" t="n">
        <v>40</v>
      </c>
      <c r="K11" s="49" t="n">
        <v>2</v>
      </c>
      <c r="L11" s="50" t="n">
        <v>0.05</v>
      </c>
      <c r="M11" s="42" t="s">
        <v>77</v>
      </c>
      <c r="N11" s="42"/>
    </row>
    <row r="12" customFormat="false" ht="18" hidden="false" customHeight="true" outlineLevel="0" collapsed="false">
      <c r="B12" s="36" t="n">
        <v>9</v>
      </c>
      <c r="C12" s="37" t="s">
        <v>29</v>
      </c>
      <c r="D12" s="37" t="s">
        <v>85</v>
      </c>
      <c r="E12" s="36" t="s">
        <v>16</v>
      </c>
      <c r="F12" s="36" t="s">
        <v>17</v>
      </c>
      <c r="G12" s="36" t="s">
        <v>75</v>
      </c>
      <c r="H12" s="36" t="s">
        <v>76</v>
      </c>
      <c r="I12" s="36" t="n">
        <v>2</v>
      </c>
      <c r="J12" s="47" t="n">
        <v>110</v>
      </c>
      <c r="K12" s="47" t="n">
        <v>77</v>
      </c>
      <c r="L12" s="48" t="n">
        <v>0.7</v>
      </c>
      <c r="M12" s="37" t="s">
        <v>77</v>
      </c>
      <c r="N12" s="37"/>
    </row>
    <row r="13" customFormat="false" ht="18" hidden="false" customHeight="true" outlineLevel="0" collapsed="false">
      <c r="B13" s="41" t="n">
        <v>10</v>
      </c>
      <c r="C13" s="42" t="s">
        <v>30</v>
      </c>
      <c r="D13" s="42" t="s">
        <v>86</v>
      </c>
      <c r="E13" s="41" t="s">
        <v>20</v>
      </c>
      <c r="F13" s="41" t="s">
        <v>25</v>
      </c>
      <c r="G13" s="41" t="s">
        <v>75</v>
      </c>
      <c r="H13" s="41" t="s">
        <v>76</v>
      </c>
      <c r="I13" s="41" t="n">
        <v>0.5</v>
      </c>
      <c r="J13" s="49" t="n">
        <v>60</v>
      </c>
      <c r="K13" s="49" t="n">
        <v>0</v>
      </c>
      <c r="L13" s="50" t="n">
        <v>0</v>
      </c>
      <c r="M13" s="42" t="s">
        <v>77</v>
      </c>
      <c r="N13" s="42"/>
    </row>
  </sheetData>
  <mergeCells count="1">
    <mergeCell ref="B1:O2"/>
  </mergeCells>
  <conditionalFormatting sqref="L4:L13">
    <cfRule type="colorScale" priority="2">
      <colorScale>
        <cfvo type="num" val="0"/>
        <cfvo type="num" val="0.5"/>
        <cfvo type="num" val="1"/>
        <color rgb="FFFF0000"/>
        <color rgb="FFFFFF00"/>
        <color rgb="FF00B050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87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16</v>
      </c>
      <c r="E3" s="52" t="s">
        <v>89</v>
      </c>
      <c r="F3" s="53" t="s">
        <v>17</v>
      </c>
      <c r="H3" s="52" t="s">
        <v>90</v>
      </c>
      <c r="I3" s="53" t="n">
        <v>3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8" hidden="false" customHeight="true" outlineLevel="0" collapsed="false">
      <c r="B9" s="36" t="n">
        <v>5</v>
      </c>
      <c r="C9" s="37" t="s">
        <v>104</v>
      </c>
      <c r="D9" s="37" t="s">
        <v>98</v>
      </c>
      <c r="E9" s="36" t="s">
        <v>16</v>
      </c>
      <c r="F9" s="56" t="s">
        <v>105</v>
      </c>
      <c r="G9" s="36" t="s">
        <v>98</v>
      </c>
      <c r="H9" s="36" t="s">
        <v>98</v>
      </c>
      <c r="I9" s="39" t="n">
        <v>1</v>
      </c>
      <c r="J9" s="48" t="n">
        <v>0</v>
      </c>
      <c r="K9" s="37"/>
    </row>
    <row r="10" customFormat="false" ht="18" hidden="false" customHeight="true" outlineLevel="0" collapsed="false">
      <c r="B10" s="41" t="n">
        <v>6</v>
      </c>
      <c r="C10" s="42" t="s">
        <v>106</v>
      </c>
      <c r="D10" s="42" t="s">
        <v>98</v>
      </c>
      <c r="E10" s="41" t="s">
        <v>20</v>
      </c>
      <c r="F10" s="56" t="s">
        <v>105</v>
      </c>
      <c r="G10" s="41" t="s">
        <v>98</v>
      </c>
      <c r="H10" s="41" t="s">
        <v>98</v>
      </c>
      <c r="I10" s="43" t="n">
        <v>0.5</v>
      </c>
      <c r="J10" s="50" t="n">
        <v>0</v>
      </c>
      <c r="K10" s="42"/>
    </row>
    <row r="11" customFormat="false" ht="18" hidden="false" customHeight="true" outlineLevel="0" collapsed="false">
      <c r="B11" s="36" t="n">
        <v>7</v>
      </c>
      <c r="C11" s="37" t="s">
        <v>107</v>
      </c>
      <c r="D11" s="37" t="s">
        <v>98</v>
      </c>
      <c r="E11" s="36" t="s">
        <v>20</v>
      </c>
      <c r="F11" s="56" t="s">
        <v>105</v>
      </c>
      <c r="G11" s="36" t="s">
        <v>98</v>
      </c>
      <c r="H11" s="36" t="s">
        <v>98</v>
      </c>
      <c r="I11" s="39" t="n">
        <v>0.3</v>
      </c>
      <c r="J11" s="48" t="n">
        <v>0</v>
      </c>
      <c r="K11" s="37"/>
    </row>
    <row r="12" customFormat="false" ht="18" hidden="false" customHeight="true" outlineLevel="0" collapsed="false">
      <c r="B12" s="41" t="n">
        <v>8</v>
      </c>
      <c r="C12" s="42" t="s">
        <v>108</v>
      </c>
      <c r="D12" s="42" t="s">
        <v>98</v>
      </c>
      <c r="E12" s="41" t="s">
        <v>24</v>
      </c>
      <c r="F12" s="56" t="s">
        <v>105</v>
      </c>
      <c r="G12" s="41" t="s">
        <v>98</v>
      </c>
      <c r="H12" s="41" t="s">
        <v>98</v>
      </c>
      <c r="I12" s="43" t="n">
        <v>0.2</v>
      </c>
      <c r="J12" s="50" t="n">
        <v>0</v>
      </c>
      <c r="K12" s="42"/>
    </row>
    <row r="13" customFormat="false" ht="19.5" hidden="false" customHeight="true" outlineLevel="0" collapsed="false">
      <c r="C13" s="44" t="s">
        <v>109</v>
      </c>
      <c r="I13" s="45" t="n">
        <f aca="false">SUM(I5:I12)</f>
        <v>3.5</v>
      </c>
      <c r="J13" s="57" t="n">
        <f aca="false">AVERAGE(J5:J12)</f>
        <v>0.375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110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16</v>
      </c>
      <c r="E3" s="52" t="s">
        <v>89</v>
      </c>
      <c r="F3" s="53" t="s">
        <v>17</v>
      </c>
      <c r="H3" s="52" t="s">
        <v>90</v>
      </c>
      <c r="I3" s="53" t="n">
        <v>2.5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8" hidden="false" customHeight="true" outlineLevel="0" collapsed="false">
      <c r="B9" s="36" t="n">
        <v>5</v>
      </c>
      <c r="C9" s="37" t="s">
        <v>104</v>
      </c>
      <c r="D9" s="37" t="s">
        <v>98</v>
      </c>
      <c r="E9" s="36" t="s">
        <v>16</v>
      </c>
      <c r="F9" s="56" t="s">
        <v>105</v>
      </c>
      <c r="G9" s="36" t="s">
        <v>98</v>
      </c>
      <c r="H9" s="36" t="s">
        <v>98</v>
      </c>
      <c r="I9" s="39" t="n">
        <v>1</v>
      </c>
      <c r="J9" s="48" t="n">
        <v>0</v>
      </c>
      <c r="K9" s="37"/>
    </row>
    <row r="10" customFormat="false" ht="19.5" hidden="false" customHeight="true" outlineLevel="0" collapsed="false">
      <c r="C10" s="44" t="s">
        <v>109</v>
      </c>
      <c r="I10" s="45" t="n">
        <f aca="false">SUM(I5:I9)</f>
        <v>2.5</v>
      </c>
      <c r="J10" s="57" t="n">
        <f aca="false">AVERAGE(J5:J9)</f>
        <v>0.6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111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20</v>
      </c>
      <c r="E3" s="52" t="s">
        <v>89</v>
      </c>
      <c r="F3" s="53" t="s">
        <v>17</v>
      </c>
      <c r="H3" s="52" t="s">
        <v>90</v>
      </c>
      <c r="I3" s="53" t="n">
        <v>1.5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8" hidden="false" customHeight="true" outlineLevel="0" collapsed="false">
      <c r="B9" s="36" t="n">
        <v>5</v>
      </c>
      <c r="C9" s="37" t="s">
        <v>104</v>
      </c>
      <c r="D9" s="37" t="s">
        <v>98</v>
      </c>
      <c r="E9" s="36" t="s">
        <v>16</v>
      </c>
      <c r="F9" s="56" t="s">
        <v>105</v>
      </c>
      <c r="G9" s="36" t="s">
        <v>98</v>
      </c>
      <c r="H9" s="36" t="s">
        <v>98</v>
      </c>
      <c r="I9" s="39" t="n">
        <v>1</v>
      </c>
      <c r="J9" s="48" t="n">
        <v>0</v>
      </c>
      <c r="K9" s="37"/>
    </row>
    <row r="10" customFormat="false" ht="18" hidden="false" customHeight="true" outlineLevel="0" collapsed="false">
      <c r="B10" s="41" t="n">
        <v>6</v>
      </c>
      <c r="C10" s="42" t="s">
        <v>106</v>
      </c>
      <c r="D10" s="42" t="s">
        <v>98</v>
      </c>
      <c r="E10" s="41" t="s">
        <v>20</v>
      </c>
      <c r="F10" s="56" t="s">
        <v>105</v>
      </c>
      <c r="G10" s="41" t="s">
        <v>98</v>
      </c>
      <c r="H10" s="41" t="s">
        <v>98</v>
      </c>
      <c r="I10" s="43" t="n">
        <v>0.5</v>
      </c>
      <c r="J10" s="50" t="n">
        <v>0</v>
      </c>
      <c r="K10" s="42"/>
    </row>
    <row r="11" customFormat="false" ht="19.5" hidden="false" customHeight="true" outlineLevel="0" collapsed="false">
      <c r="C11" s="44" t="s">
        <v>109</v>
      </c>
      <c r="I11" s="45" t="n">
        <f aca="false">SUM(I5:I10)</f>
        <v>3</v>
      </c>
      <c r="J11" s="57" t="n">
        <f aca="false">AVERAGE(J5:J10)</f>
        <v>0.5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112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20</v>
      </c>
      <c r="E3" s="52" t="s">
        <v>89</v>
      </c>
      <c r="F3" s="53" t="s">
        <v>22</v>
      </c>
      <c r="H3" s="52" t="s">
        <v>90</v>
      </c>
      <c r="I3" s="53" t="n">
        <v>1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9.5" hidden="false" customHeight="true" outlineLevel="0" collapsed="false">
      <c r="C9" s="44" t="s">
        <v>109</v>
      </c>
      <c r="I9" s="45" t="n">
        <f aca="false">SUM(I5:I8)</f>
        <v>1.5</v>
      </c>
      <c r="J9" s="57" t="n">
        <f aca="false">AVERAGE(J5:J8)</f>
        <v>0.75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113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24</v>
      </c>
      <c r="E3" s="52" t="s">
        <v>89</v>
      </c>
      <c r="F3" s="53" t="s">
        <v>25</v>
      </c>
      <c r="H3" s="52" t="s">
        <v>90</v>
      </c>
      <c r="I3" s="53" t="n">
        <v>0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9.5" hidden="false" customHeight="true" outlineLevel="0" collapsed="false">
      <c r="C8" s="44" t="s">
        <v>109</v>
      </c>
      <c r="I8" s="45" t="n">
        <f aca="false">SUM(I5:I7)</f>
        <v>1</v>
      </c>
      <c r="J8" s="57" t="n">
        <f aca="false">AVERAGE(J5:J7)</f>
        <v>0.833333333333333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114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16</v>
      </c>
      <c r="E3" s="52" t="s">
        <v>89</v>
      </c>
      <c r="F3" s="53" t="s">
        <v>17</v>
      </c>
      <c r="H3" s="52" t="s">
        <v>90</v>
      </c>
      <c r="I3" s="53" t="n">
        <v>2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8" hidden="false" customHeight="true" outlineLevel="0" collapsed="false">
      <c r="B9" s="36" t="n">
        <v>5</v>
      </c>
      <c r="C9" s="37" t="s">
        <v>104</v>
      </c>
      <c r="D9" s="37" t="s">
        <v>98</v>
      </c>
      <c r="E9" s="36" t="s">
        <v>16</v>
      </c>
      <c r="F9" s="56" t="s">
        <v>105</v>
      </c>
      <c r="G9" s="36" t="s">
        <v>98</v>
      </c>
      <c r="H9" s="36" t="s">
        <v>98</v>
      </c>
      <c r="I9" s="39" t="n">
        <v>1</v>
      </c>
      <c r="J9" s="48" t="n">
        <v>0</v>
      </c>
      <c r="K9" s="37"/>
    </row>
    <row r="10" customFormat="false" ht="18" hidden="false" customHeight="true" outlineLevel="0" collapsed="false">
      <c r="B10" s="41" t="n">
        <v>6</v>
      </c>
      <c r="C10" s="42" t="s">
        <v>106</v>
      </c>
      <c r="D10" s="42" t="s">
        <v>98</v>
      </c>
      <c r="E10" s="41" t="s">
        <v>20</v>
      </c>
      <c r="F10" s="56" t="s">
        <v>105</v>
      </c>
      <c r="G10" s="41" t="s">
        <v>98</v>
      </c>
      <c r="H10" s="41" t="s">
        <v>98</v>
      </c>
      <c r="I10" s="43" t="n">
        <v>0.5</v>
      </c>
      <c r="J10" s="50" t="n">
        <v>0</v>
      </c>
      <c r="K10" s="42"/>
    </row>
    <row r="11" customFormat="false" ht="18" hidden="false" customHeight="true" outlineLevel="0" collapsed="false">
      <c r="B11" s="36" t="n">
        <v>7</v>
      </c>
      <c r="C11" s="37" t="s">
        <v>107</v>
      </c>
      <c r="D11" s="37" t="s">
        <v>98</v>
      </c>
      <c r="E11" s="36" t="s">
        <v>20</v>
      </c>
      <c r="F11" s="56" t="s">
        <v>105</v>
      </c>
      <c r="G11" s="36" t="s">
        <v>98</v>
      </c>
      <c r="H11" s="36" t="s">
        <v>98</v>
      </c>
      <c r="I11" s="39" t="n">
        <v>0.3</v>
      </c>
      <c r="J11" s="48" t="n">
        <v>0</v>
      </c>
      <c r="K11" s="37"/>
    </row>
    <row r="12" customFormat="false" ht="19.5" hidden="false" customHeight="true" outlineLevel="0" collapsed="false">
      <c r="C12" s="44" t="s">
        <v>109</v>
      </c>
      <c r="I12" s="45" t="n">
        <f aca="false">SUM(I5:I11)</f>
        <v>3.3</v>
      </c>
      <c r="J12" s="57" t="n">
        <f aca="false">AVERAGE(J5:J11)</f>
        <v>0.428571428571429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115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20</v>
      </c>
      <c r="E3" s="52" t="s">
        <v>89</v>
      </c>
      <c r="F3" s="53" t="s">
        <v>17</v>
      </c>
      <c r="H3" s="52" t="s">
        <v>90</v>
      </c>
      <c r="I3" s="53" t="n">
        <v>1.5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8" hidden="false" customHeight="true" outlineLevel="0" collapsed="false">
      <c r="B9" s="36" t="n">
        <v>5</v>
      </c>
      <c r="C9" s="37" t="s">
        <v>104</v>
      </c>
      <c r="D9" s="37" t="s">
        <v>98</v>
      </c>
      <c r="E9" s="36" t="s">
        <v>16</v>
      </c>
      <c r="F9" s="56" t="s">
        <v>105</v>
      </c>
      <c r="G9" s="36" t="s">
        <v>98</v>
      </c>
      <c r="H9" s="36" t="s">
        <v>98</v>
      </c>
      <c r="I9" s="39" t="n">
        <v>1</v>
      </c>
      <c r="J9" s="48" t="n">
        <v>0</v>
      </c>
      <c r="K9" s="37"/>
    </row>
    <row r="10" customFormat="false" ht="19.5" hidden="false" customHeight="true" outlineLevel="0" collapsed="false">
      <c r="C10" s="44" t="s">
        <v>109</v>
      </c>
      <c r="I10" s="45" t="n">
        <f aca="false">SUM(I5:I9)</f>
        <v>2.5</v>
      </c>
      <c r="J10" s="57" t="n">
        <f aca="false">AVERAGE(J5:J9)</f>
        <v>0.6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116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24</v>
      </c>
      <c r="E3" s="52" t="s">
        <v>89</v>
      </c>
      <c r="F3" s="53" t="s">
        <v>22</v>
      </c>
      <c r="H3" s="52" t="s">
        <v>90</v>
      </c>
      <c r="I3" s="53" t="n">
        <v>0.5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9.5" hidden="false" customHeight="true" outlineLevel="0" collapsed="false">
      <c r="C9" s="44" t="s">
        <v>109</v>
      </c>
      <c r="I9" s="45" t="n">
        <f aca="false">SUM(I5:I8)</f>
        <v>1.5</v>
      </c>
      <c r="J9" s="57" t="n">
        <f aca="false">AVERAGE(J5:J8)</f>
        <v>0.75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117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16</v>
      </c>
      <c r="E3" s="52" t="s">
        <v>89</v>
      </c>
      <c r="F3" s="53" t="s">
        <v>17</v>
      </c>
      <c r="H3" s="52" t="s">
        <v>90</v>
      </c>
      <c r="I3" s="53" t="n">
        <v>2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8" hidden="false" customHeight="true" outlineLevel="0" collapsed="false">
      <c r="B8" s="41" t="n">
        <v>4</v>
      </c>
      <c r="C8" s="42" t="s">
        <v>103</v>
      </c>
      <c r="D8" s="42" t="s">
        <v>98</v>
      </c>
      <c r="E8" s="41" t="s">
        <v>20</v>
      </c>
      <c r="F8" s="55" t="s">
        <v>102</v>
      </c>
      <c r="G8" s="41" t="s">
        <v>98</v>
      </c>
      <c r="H8" s="41" t="s">
        <v>98</v>
      </c>
      <c r="I8" s="43" t="n">
        <v>0.5</v>
      </c>
      <c r="J8" s="50" t="n">
        <v>0.5</v>
      </c>
      <c r="K8" s="42"/>
    </row>
    <row r="9" customFormat="false" ht="18" hidden="false" customHeight="true" outlineLevel="0" collapsed="false">
      <c r="B9" s="36" t="n">
        <v>5</v>
      </c>
      <c r="C9" s="37" t="s">
        <v>104</v>
      </c>
      <c r="D9" s="37" t="s">
        <v>98</v>
      </c>
      <c r="E9" s="36" t="s">
        <v>16</v>
      </c>
      <c r="F9" s="56" t="s">
        <v>105</v>
      </c>
      <c r="G9" s="36" t="s">
        <v>98</v>
      </c>
      <c r="H9" s="36" t="s">
        <v>98</v>
      </c>
      <c r="I9" s="39" t="n">
        <v>1</v>
      </c>
      <c r="J9" s="48" t="n">
        <v>0</v>
      </c>
      <c r="K9" s="37"/>
    </row>
    <row r="10" customFormat="false" ht="18" hidden="false" customHeight="true" outlineLevel="0" collapsed="false">
      <c r="B10" s="41" t="n">
        <v>6</v>
      </c>
      <c r="C10" s="42" t="s">
        <v>106</v>
      </c>
      <c r="D10" s="42" t="s">
        <v>98</v>
      </c>
      <c r="E10" s="41" t="s">
        <v>20</v>
      </c>
      <c r="F10" s="56" t="s">
        <v>105</v>
      </c>
      <c r="G10" s="41" t="s">
        <v>98</v>
      </c>
      <c r="H10" s="41" t="s">
        <v>98</v>
      </c>
      <c r="I10" s="43" t="n">
        <v>0.5</v>
      </c>
      <c r="J10" s="50" t="n">
        <v>0</v>
      </c>
      <c r="K10" s="42"/>
    </row>
    <row r="11" customFormat="false" ht="19.5" hidden="false" customHeight="true" outlineLevel="0" collapsed="false">
      <c r="C11" s="44" t="s">
        <v>109</v>
      </c>
      <c r="I11" s="45" t="n">
        <f aca="false">SUM(I5:I10)</f>
        <v>3</v>
      </c>
      <c r="J11" s="57" t="n">
        <f aca="false">AVERAGE(J5:J10)</f>
        <v>0.5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B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10" min="9" style="0" width="10"/>
    <col collapsed="false" customWidth="true" hidden="false" outlineLevel="0" max="11" min="11" style="0" width="35"/>
  </cols>
  <sheetData>
    <row r="1" customFormat="false" ht="25.5" hidden="false" customHeight="true" outlineLevel="0" collapsed="false">
      <c r="B1" s="51" t="s">
        <v>118</v>
      </c>
      <c r="C1" s="51"/>
      <c r="D1" s="51"/>
      <c r="E1" s="51"/>
      <c r="F1" s="51"/>
      <c r="G1" s="51"/>
      <c r="H1" s="51"/>
      <c r="I1" s="51"/>
      <c r="J1" s="51"/>
      <c r="K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</row>
    <row r="3" customFormat="false" ht="19.5" hidden="false" customHeight="true" outlineLevel="0" collapsed="false">
      <c r="B3" s="52" t="s">
        <v>88</v>
      </c>
      <c r="C3" s="53" t="s">
        <v>20</v>
      </c>
      <c r="E3" s="52" t="s">
        <v>89</v>
      </c>
      <c r="F3" s="53" t="s">
        <v>25</v>
      </c>
      <c r="H3" s="52" t="s">
        <v>90</v>
      </c>
      <c r="I3" s="53" t="n">
        <v>0.5</v>
      </c>
    </row>
    <row r="4" customFormat="false" ht="21.75" hidden="false" customHeight="true" outlineLevel="0" collapsed="false">
      <c r="B4" s="12" t="s">
        <v>8</v>
      </c>
      <c r="C4" s="12" t="s">
        <v>91</v>
      </c>
      <c r="D4" s="12" t="s">
        <v>92</v>
      </c>
      <c r="E4" s="12" t="s">
        <v>10</v>
      </c>
      <c r="F4" s="12" t="s">
        <v>11</v>
      </c>
      <c r="G4" s="12" t="s">
        <v>67</v>
      </c>
      <c r="H4" s="12" t="s">
        <v>93</v>
      </c>
      <c r="I4" s="12" t="s">
        <v>94</v>
      </c>
      <c r="J4" s="12" t="s">
        <v>95</v>
      </c>
      <c r="K4" s="12" t="s">
        <v>96</v>
      </c>
    </row>
    <row r="5" customFormat="false" ht="18" hidden="false" customHeight="true" outlineLevel="0" collapsed="false">
      <c r="B5" s="36" t="n">
        <v>1</v>
      </c>
      <c r="C5" s="37" t="s">
        <v>97</v>
      </c>
      <c r="D5" s="37" t="s">
        <v>98</v>
      </c>
      <c r="E5" s="36" t="s">
        <v>16</v>
      </c>
      <c r="F5" s="54" t="s">
        <v>99</v>
      </c>
      <c r="G5" s="36" t="s">
        <v>98</v>
      </c>
      <c r="H5" s="36" t="s">
        <v>98</v>
      </c>
      <c r="I5" s="39" t="n">
        <v>0.2</v>
      </c>
      <c r="J5" s="48" t="n">
        <v>1</v>
      </c>
      <c r="K5" s="37"/>
    </row>
    <row r="6" customFormat="false" ht="18" hidden="false" customHeight="true" outlineLevel="0" collapsed="false">
      <c r="B6" s="41" t="n">
        <v>2</v>
      </c>
      <c r="C6" s="42" t="s">
        <v>100</v>
      </c>
      <c r="D6" s="42" t="s">
        <v>98</v>
      </c>
      <c r="E6" s="41" t="s">
        <v>16</v>
      </c>
      <c r="F6" s="54" t="s">
        <v>99</v>
      </c>
      <c r="G6" s="41" t="s">
        <v>98</v>
      </c>
      <c r="H6" s="41" t="s">
        <v>98</v>
      </c>
      <c r="I6" s="43" t="n">
        <v>0.3</v>
      </c>
      <c r="J6" s="50" t="n">
        <v>1</v>
      </c>
      <c r="K6" s="42"/>
    </row>
    <row r="7" customFormat="false" ht="18" hidden="false" customHeight="true" outlineLevel="0" collapsed="false">
      <c r="B7" s="36" t="n">
        <v>3</v>
      </c>
      <c r="C7" s="37" t="s">
        <v>101</v>
      </c>
      <c r="D7" s="37" t="s">
        <v>98</v>
      </c>
      <c r="E7" s="36" t="s">
        <v>16</v>
      </c>
      <c r="F7" s="55" t="s">
        <v>102</v>
      </c>
      <c r="G7" s="36" t="s">
        <v>98</v>
      </c>
      <c r="H7" s="36" t="s">
        <v>98</v>
      </c>
      <c r="I7" s="39" t="n">
        <v>0.5</v>
      </c>
      <c r="J7" s="48" t="n">
        <v>0.5</v>
      </c>
      <c r="K7" s="37"/>
    </row>
    <row r="8" customFormat="false" ht="19.5" hidden="false" customHeight="true" outlineLevel="0" collapsed="false">
      <c r="C8" s="44" t="s">
        <v>109</v>
      </c>
      <c r="I8" s="45" t="n">
        <f aca="false">SUM(I5:I7)</f>
        <v>1</v>
      </c>
      <c r="J8" s="57" t="n">
        <f aca="false">AVERAGE(J5:J7)</f>
        <v>0.833333333333333</v>
      </c>
    </row>
  </sheetData>
  <mergeCells count="1">
    <mergeCell ref="B1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B1:P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12" min="3" style="0" width="13"/>
    <col collapsed="false" customWidth="true" hidden="false" outlineLevel="0" max="13" min="13" style="0" width="12"/>
  </cols>
  <sheetData>
    <row r="1" customFormat="false" ht="25.5" hidden="false" customHeight="true" outlineLevel="0" collapsed="false">
      <c r="B1" s="51" t="s">
        <v>119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customFormat="false" ht="15.75" hidden="false" customHeight="true" outlineLevel="0" collapsed="false"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</row>
    <row r="3" customFormat="false" ht="39.75" hidden="false" customHeight="true" outlineLevel="0" collapsed="false">
      <c r="C3" s="58" t="s">
        <v>120</v>
      </c>
      <c r="D3" s="58" t="s">
        <v>121</v>
      </c>
      <c r="E3" s="58" t="s">
        <v>122</v>
      </c>
      <c r="F3" s="58" t="s">
        <v>123</v>
      </c>
      <c r="G3" s="58" t="s">
        <v>124</v>
      </c>
      <c r="H3" s="58" t="s">
        <v>125</v>
      </c>
      <c r="I3" s="58" t="s">
        <v>126</v>
      </c>
      <c r="J3" s="58" t="s">
        <v>127</v>
      </c>
      <c r="K3" s="58" t="s">
        <v>128</v>
      </c>
      <c r="L3" s="58" t="s">
        <v>129</v>
      </c>
      <c r="M3" s="59" t="s">
        <v>130</v>
      </c>
    </row>
    <row r="4" customFormat="false" ht="18" hidden="false" customHeight="true" outlineLevel="0" collapsed="false">
      <c r="B4" s="37" t="s">
        <v>131</v>
      </c>
      <c r="C4" s="38" t="n">
        <v>0</v>
      </c>
      <c r="D4" s="38" t="n">
        <v>0</v>
      </c>
      <c r="E4" s="38" t="n">
        <v>0</v>
      </c>
      <c r="F4" s="38" t="n">
        <v>0</v>
      </c>
      <c r="G4" s="38" t="n">
        <v>0</v>
      </c>
      <c r="H4" s="38" t="n">
        <v>0</v>
      </c>
      <c r="I4" s="38" t="n">
        <v>0</v>
      </c>
      <c r="J4" s="38" t="n">
        <v>0</v>
      </c>
      <c r="K4" s="38" t="n">
        <v>0</v>
      </c>
      <c r="L4" s="38" t="n">
        <v>0</v>
      </c>
      <c r="M4" s="43" t="n">
        <f aca="false">SUM(C4:L4)</f>
        <v>0</v>
      </c>
    </row>
    <row r="5" customFormat="false" ht="18" hidden="false" customHeight="true" outlineLevel="0" collapsed="false">
      <c r="B5" s="42" t="s">
        <v>132</v>
      </c>
      <c r="C5" s="38" t="n">
        <v>0</v>
      </c>
      <c r="D5" s="38" t="n">
        <v>0</v>
      </c>
      <c r="E5" s="38" t="n">
        <v>0</v>
      </c>
      <c r="F5" s="38" t="n">
        <v>0</v>
      </c>
      <c r="G5" s="38" t="n">
        <v>0</v>
      </c>
      <c r="H5" s="38" t="n">
        <v>0</v>
      </c>
      <c r="I5" s="38" t="n">
        <v>0</v>
      </c>
      <c r="J5" s="38" t="n">
        <v>0</v>
      </c>
      <c r="K5" s="38" t="n">
        <v>0</v>
      </c>
      <c r="L5" s="38" t="n">
        <v>0</v>
      </c>
      <c r="M5" s="43" t="n">
        <f aca="false">SUM(C5:L5)</f>
        <v>0</v>
      </c>
    </row>
    <row r="6" customFormat="false" ht="18" hidden="false" customHeight="true" outlineLevel="0" collapsed="false">
      <c r="B6" s="37" t="s">
        <v>133</v>
      </c>
      <c r="C6" s="38" t="n">
        <v>0</v>
      </c>
      <c r="D6" s="38" t="n">
        <v>0</v>
      </c>
      <c r="E6" s="38" t="n">
        <v>0</v>
      </c>
      <c r="F6" s="38" t="n">
        <v>0</v>
      </c>
      <c r="G6" s="38" t="n">
        <v>0</v>
      </c>
      <c r="H6" s="38" t="n">
        <v>0</v>
      </c>
      <c r="I6" s="38" t="n">
        <v>0</v>
      </c>
      <c r="J6" s="38" t="n">
        <v>0</v>
      </c>
      <c r="K6" s="38" t="n">
        <v>0</v>
      </c>
      <c r="L6" s="38" t="n">
        <v>0</v>
      </c>
      <c r="M6" s="43" t="n">
        <f aca="false">SUM(C6:L6)</f>
        <v>0</v>
      </c>
    </row>
    <row r="7" customFormat="false" ht="18" hidden="false" customHeight="true" outlineLevel="0" collapsed="false">
      <c r="B7" s="42" t="s">
        <v>134</v>
      </c>
      <c r="C7" s="38" t="n">
        <v>0</v>
      </c>
      <c r="D7" s="38" t="n">
        <v>0</v>
      </c>
      <c r="E7" s="38" t="n">
        <v>0</v>
      </c>
      <c r="F7" s="38" t="n">
        <v>0</v>
      </c>
      <c r="G7" s="38" t="n">
        <v>0</v>
      </c>
      <c r="H7" s="38" t="n">
        <v>0</v>
      </c>
      <c r="I7" s="38" t="n">
        <v>0</v>
      </c>
      <c r="J7" s="38" t="n">
        <v>0</v>
      </c>
      <c r="K7" s="38" t="n">
        <v>0</v>
      </c>
      <c r="L7" s="38" t="n">
        <v>0</v>
      </c>
      <c r="M7" s="43" t="n">
        <f aca="false">SUM(C7:L7)</f>
        <v>0</v>
      </c>
    </row>
    <row r="8" customFormat="false" ht="18" hidden="false" customHeight="true" outlineLevel="0" collapsed="false">
      <c r="B8" s="37" t="s">
        <v>135</v>
      </c>
      <c r="C8" s="38" t="n">
        <v>0</v>
      </c>
      <c r="D8" s="38" t="n">
        <v>0</v>
      </c>
      <c r="E8" s="38" t="n">
        <v>0</v>
      </c>
      <c r="F8" s="38" t="n">
        <v>0</v>
      </c>
      <c r="G8" s="38" t="n">
        <v>0</v>
      </c>
      <c r="H8" s="38" t="n">
        <v>0</v>
      </c>
      <c r="I8" s="38" t="n">
        <v>0</v>
      </c>
      <c r="J8" s="38" t="n">
        <v>0</v>
      </c>
      <c r="K8" s="38" t="n">
        <v>0</v>
      </c>
      <c r="L8" s="38" t="n">
        <v>0</v>
      </c>
      <c r="M8" s="43" t="n">
        <f aca="false">SUM(C8:L8)</f>
        <v>0</v>
      </c>
    </row>
    <row r="9" customFormat="false" ht="18" hidden="false" customHeight="true" outlineLevel="0" collapsed="false">
      <c r="B9" s="42" t="s">
        <v>136</v>
      </c>
      <c r="C9" s="38" t="n">
        <v>0</v>
      </c>
      <c r="D9" s="38" t="n">
        <v>0</v>
      </c>
      <c r="E9" s="38" t="n">
        <v>0</v>
      </c>
      <c r="F9" s="38" t="n">
        <v>0</v>
      </c>
      <c r="G9" s="38" t="n">
        <v>0</v>
      </c>
      <c r="H9" s="38" t="n">
        <v>0</v>
      </c>
      <c r="I9" s="38" t="n">
        <v>0</v>
      </c>
      <c r="J9" s="38" t="n">
        <v>0</v>
      </c>
      <c r="K9" s="38" t="n">
        <v>0</v>
      </c>
      <c r="L9" s="38" t="n">
        <v>0</v>
      </c>
      <c r="M9" s="43" t="n">
        <f aca="false">SUM(C9:L9)</f>
        <v>0</v>
      </c>
    </row>
    <row r="10" customFormat="false" ht="18" hidden="false" customHeight="true" outlineLevel="0" collapsed="false">
      <c r="B10" s="37" t="s">
        <v>137</v>
      </c>
      <c r="C10" s="38" t="n">
        <v>0</v>
      </c>
      <c r="D10" s="38" t="n">
        <v>0</v>
      </c>
      <c r="E10" s="38" t="n">
        <v>0</v>
      </c>
      <c r="F10" s="38" t="n">
        <v>0</v>
      </c>
      <c r="G10" s="38" t="n">
        <v>0</v>
      </c>
      <c r="H10" s="38" t="n">
        <v>0</v>
      </c>
      <c r="I10" s="38" t="n">
        <v>0</v>
      </c>
      <c r="J10" s="38" t="n">
        <v>0</v>
      </c>
      <c r="K10" s="38" t="n">
        <v>0</v>
      </c>
      <c r="L10" s="38" t="n">
        <v>0</v>
      </c>
      <c r="M10" s="43" t="n">
        <f aca="false">SUM(C10:L10)</f>
        <v>0</v>
      </c>
    </row>
    <row r="11" customFormat="false" ht="18" hidden="false" customHeight="true" outlineLevel="0" collapsed="false">
      <c r="B11" s="42" t="s">
        <v>138</v>
      </c>
      <c r="C11" s="38" t="n">
        <v>0</v>
      </c>
      <c r="D11" s="38" t="n">
        <v>0</v>
      </c>
      <c r="E11" s="38" t="n">
        <v>0</v>
      </c>
      <c r="F11" s="38" t="n">
        <v>0</v>
      </c>
      <c r="G11" s="38" t="n">
        <v>0</v>
      </c>
      <c r="H11" s="38" t="n">
        <v>0</v>
      </c>
      <c r="I11" s="38" t="n">
        <v>0</v>
      </c>
      <c r="J11" s="38" t="n">
        <v>0</v>
      </c>
      <c r="K11" s="38" t="n">
        <v>0</v>
      </c>
      <c r="L11" s="38" t="n">
        <v>0</v>
      </c>
      <c r="M11" s="43" t="n">
        <f aca="false">SUM(C11:L11)</f>
        <v>0</v>
      </c>
    </row>
    <row r="12" customFormat="false" ht="18" hidden="false" customHeight="true" outlineLevel="0" collapsed="false">
      <c r="B12" s="37" t="s">
        <v>139</v>
      </c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43" t="n">
        <f aca="false">SUM(C12:L12)</f>
        <v>0</v>
      </c>
    </row>
    <row r="13" customFormat="false" ht="18" hidden="false" customHeight="true" outlineLevel="0" collapsed="false">
      <c r="B13" s="42" t="s">
        <v>140</v>
      </c>
      <c r="C13" s="38" t="n">
        <v>0</v>
      </c>
      <c r="D13" s="38" t="n">
        <v>0</v>
      </c>
      <c r="E13" s="38" t="n">
        <v>0</v>
      </c>
      <c r="F13" s="38" t="n">
        <v>0</v>
      </c>
      <c r="G13" s="38" t="n">
        <v>0</v>
      </c>
      <c r="H13" s="38" t="n">
        <v>0</v>
      </c>
      <c r="I13" s="38" t="n">
        <v>0</v>
      </c>
      <c r="J13" s="38" t="n">
        <v>0</v>
      </c>
      <c r="K13" s="38" t="n">
        <v>0</v>
      </c>
      <c r="L13" s="38" t="n">
        <v>0</v>
      </c>
      <c r="M13" s="43" t="n">
        <f aca="false">SUM(C13:L13)</f>
        <v>0</v>
      </c>
    </row>
    <row r="14" customFormat="false" ht="18" hidden="false" customHeight="true" outlineLevel="0" collapsed="false">
      <c r="B14" s="37" t="s">
        <v>141</v>
      </c>
      <c r="C14" s="38" t="n">
        <v>0</v>
      </c>
      <c r="D14" s="38" t="n">
        <v>0</v>
      </c>
      <c r="E14" s="38" t="n">
        <v>0</v>
      </c>
      <c r="F14" s="38" t="n">
        <v>0</v>
      </c>
      <c r="G14" s="38" t="n">
        <v>0</v>
      </c>
      <c r="H14" s="38" t="n">
        <v>0</v>
      </c>
      <c r="I14" s="38" t="n">
        <v>0</v>
      </c>
      <c r="J14" s="38" t="n">
        <v>0</v>
      </c>
      <c r="K14" s="38" t="n">
        <v>0</v>
      </c>
      <c r="L14" s="38" t="n">
        <v>0</v>
      </c>
      <c r="M14" s="43" t="n">
        <f aca="false">SUM(C14:L14)</f>
        <v>0</v>
      </c>
    </row>
    <row r="15" customFormat="false" ht="18" hidden="false" customHeight="true" outlineLevel="0" collapsed="false">
      <c r="B15" s="42" t="s">
        <v>142</v>
      </c>
      <c r="C15" s="38" t="n">
        <v>0</v>
      </c>
      <c r="D15" s="38" t="n">
        <v>0</v>
      </c>
      <c r="E15" s="38" t="n">
        <v>0</v>
      </c>
      <c r="F15" s="38" t="n">
        <v>0</v>
      </c>
      <c r="G15" s="38" t="n">
        <v>0</v>
      </c>
      <c r="H15" s="38" t="n">
        <v>0</v>
      </c>
      <c r="I15" s="38" t="n">
        <v>0</v>
      </c>
      <c r="J15" s="38" t="n">
        <v>0</v>
      </c>
      <c r="K15" s="38" t="n">
        <v>0</v>
      </c>
      <c r="L15" s="38" t="n">
        <v>0</v>
      </c>
      <c r="M15" s="43" t="n">
        <f aca="false">SUM(C15:L15)</f>
        <v>0</v>
      </c>
    </row>
    <row r="16" customFormat="false" ht="19.5" hidden="false" customHeight="true" outlineLevel="0" collapsed="false">
      <c r="B16" s="60" t="s">
        <v>143</v>
      </c>
      <c r="C16" s="45" t="n">
        <f aca="false">SUM(C4:C15)</f>
        <v>0</v>
      </c>
      <c r="D16" s="45" t="n">
        <f aca="false">SUM(D4:D15)</f>
        <v>0</v>
      </c>
      <c r="E16" s="45" t="n">
        <f aca="false">SUM(E4:E15)</f>
        <v>0</v>
      </c>
      <c r="F16" s="45" t="n">
        <f aca="false">SUM(F4:F15)</f>
        <v>0</v>
      </c>
      <c r="G16" s="45" t="n">
        <f aca="false">SUM(G4:G15)</f>
        <v>0</v>
      </c>
      <c r="H16" s="45" t="n">
        <f aca="false">SUM(H4:H15)</f>
        <v>0</v>
      </c>
      <c r="I16" s="45" t="n">
        <f aca="false">SUM(I4:I15)</f>
        <v>0</v>
      </c>
      <c r="J16" s="45" t="n">
        <f aca="false">SUM(J4:J15)</f>
        <v>0</v>
      </c>
      <c r="K16" s="45" t="n">
        <f aca="false">SUM(K4:K15)</f>
        <v>0</v>
      </c>
      <c r="L16" s="45" t="n">
        <f aca="false">SUM(L4:L15)</f>
        <v>0</v>
      </c>
      <c r="M16" s="45" t="n">
        <f aca="false">SUM(M4:M15)</f>
        <v>0</v>
      </c>
    </row>
    <row r="18" customFormat="false" ht="15" hidden="false" customHeight="false" outlineLevel="0" collapsed="false">
      <c r="B18" s="46" t="s">
        <v>144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</sheetData>
  <mergeCells count="2">
    <mergeCell ref="B1:P2"/>
    <mergeCell ref="B18:P18"/>
  </mergeCells>
  <conditionalFormatting sqref="C4:L15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B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5"/>
  </cols>
  <sheetData>
    <row r="1" customFormat="false" ht="27.75" hidden="false" customHeight="true" outlineLevel="0" collapsed="false">
      <c r="B1" s="33" t="s">
        <v>145</v>
      </c>
      <c r="C1" s="33"/>
    </row>
    <row r="2" customFormat="false" ht="15" hidden="false" customHeight="false" outlineLevel="0" collapsed="false">
      <c r="B2" s="33"/>
      <c r="C2" s="33"/>
    </row>
    <row r="4" customFormat="false" ht="19.5" hidden="false" customHeight="true" outlineLevel="0" collapsed="false">
      <c r="B4" s="52" t="s">
        <v>146</v>
      </c>
      <c r="C4" s="42" t="s">
        <v>147</v>
      </c>
    </row>
    <row r="5" customFormat="false" ht="3.75" hidden="false" customHeight="true" outlineLevel="0" collapsed="false"/>
    <row r="6" customFormat="false" ht="19.5" hidden="false" customHeight="true" outlineLevel="0" collapsed="false">
      <c r="B6" s="52" t="s">
        <v>148</v>
      </c>
      <c r="C6" s="42" t="s">
        <v>149</v>
      </c>
    </row>
    <row r="7" customFormat="false" ht="3.75" hidden="false" customHeight="true" outlineLevel="0" collapsed="false"/>
    <row r="8" customFormat="false" ht="19.5" hidden="false" customHeight="true" outlineLevel="0" collapsed="false">
      <c r="B8" s="52" t="s">
        <v>150</v>
      </c>
      <c r="C8" s="42" t="s">
        <v>151</v>
      </c>
    </row>
    <row r="9" customFormat="false" ht="3.75" hidden="false" customHeight="true" outlineLevel="0" collapsed="false"/>
    <row r="10" customFormat="false" ht="19.5" hidden="false" customHeight="true" outlineLevel="0" collapsed="false">
      <c r="B10" s="52" t="s">
        <v>152</v>
      </c>
      <c r="C10" s="42" t="s">
        <v>153</v>
      </c>
    </row>
    <row r="11" customFormat="false" ht="3.75" hidden="false" customHeight="true" outlineLevel="0" collapsed="false"/>
    <row r="12" customFormat="false" ht="19.5" hidden="false" customHeight="true" outlineLevel="0" collapsed="false">
      <c r="B12" s="52" t="s">
        <v>154</v>
      </c>
      <c r="C12" s="42" t="s">
        <v>155</v>
      </c>
    </row>
    <row r="13" customFormat="false" ht="3.75" hidden="false" customHeight="true" outlineLevel="0" collapsed="false"/>
    <row r="14" customFormat="false" ht="19.5" hidden="false" customHeight="true" outlineLevel="0" collapsed="false">
      <c r="B14" s="52" t="s">
        <v>156</v>
      </c>
      <c r="C14" s="42" t="s">
        <v>157</v>
      </c>
    </row>
    <row r="15" customFormat="false" ht="3.75" hidden="false" customHeight="true" outlineLevel="0" collapsed="false"/>
    <row r="16" customFormat="false" ht="19.5" hidden="false" customHeight="true" outlineLevel="0" collapsed="false">
      <c r="B16" s="52" t="s">
        <v>158</v>
      </c>
      <c r="C16" s="42" t="s">
        <v>159</v>
      </c>
    </row>
    <row r="17" customFormat="false" ht="3.75" hidden="false" customHeight="true" outlineLevel="0" collapsed="false"/>
    <row r="18" customFormat="false" ht="19.5" hidden="false" customHeight="true" outlineLevel="0" collapsed="false">
      <c r="B18" s="61" t="s">
        <v>160</v>
      </c>
      <c r="C18" s="42" t="s">
        <v>161</v>
      </c>
    </row>
    <row r="19" customFormat="false" ht="3.75" hidden="false" customHeight="true" outlineLevel="0" collapsed="false"/>
    <row r="20" customFormat="false" ht="19.5" hidden="false" customHeight="true" outlineLevel="0" collapsed="false">
      <c r="B20" s="61" t="s">
        <v>162</v>
      </c>
      <c r="C20" s="42" t="s">
        <v>163</v>
      </c>
    </row>
    <row r="21" customFormat="false" ht="3.75" hidden="false" customHeight="true" outlineLevel="0" collapsed="false"/>
    <row r="22" customFormat="false" ht="19.5" hidden="false" customHeight="true" outlineLevel="0" collapsed="false">
      <c r="B22" s="61" t="s">
        <v>164</v>
      </c>
      <c r="C22" s="42" t="s">
        <v>165</v>
      </c>
    </row>
    <row r="23" customFormat="false" ht="3.75" hidden="false" customHeight="true" outlineLevel="0" collapsed="false"/>
  </sheetData>
  <mergeCells count="1">
    <mergeCell ref="B1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2026-03-15T15:10:41Z</dcterms:created>
  <dc:creator>openpyxl</dc:creator>
  <dc:description/>
  <dc:language>en-US</dc:language>
  <cp:lastModifiedBy/>
  <dcterms:modified xsi:type="dcterms:W3CDTF">2026-03-15T15:10:42Z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